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Digital Hub &amp; Orange Intern\Task 1 Ecxel\"/>
    </mc:Choice>
  </mc:AlternateContent>
  <xr:revisionPtr revIDLastSave="0" documentId="13_ncr:1_{8088957C-CE1C-473F-A64F-268CAD67555B}" xr6:coauthVersionLast="47" xr6:coauthVersionMax="47" xr10:uidLastSave="{00000000-0000-0000-0000-000000000000}"/>
  <bookViews>
    <workbookView xWindow="-108" yWindow="-108" windowWidth="23256" windowHeight="12456" activeTab="2" xr2:uid="{5464F1E1-7CD8-1548-BCE7-742F9BDBAFDD}"/>
  </bookViews>
  <sheets>
    <sheet name="Third Dashboard" sheetId="6" r:id="rId1"/>
    <sheet name="Second Dashboard" sheetId="5" r:id="rId2"/>
    <sheet name="First Dashboard" sheetId="4" r:id="rId3"/>
    <sheet name="Pivot Tables &amp; Charts" sheetId="3" r:id="rId4"/>
    <sheet name="Employees_Clean" sheetId="2" r:id="rId5"/>
    <sheet name="Employees" sheetId="1" r:id="rId6"/>
  </sheets>
  <definedNames>
    <definedName name="_xlchart.v1.0" hidden="1">'Pivot Tables &amp; Charts'!$C$84:$C$88</definedName>
    <definedName name="_xlchart.v1.1" hidden="1">'Pivot Tables &amp; Charts'!$D$83</definedName>
    <definedName name="_xlchart.v1.2" hidden="1">'Pivot Tables &amp; Charts'!$D$84:$D$88</definedName>
    <definedName name="_xlchart.v1.3" hidden="1">'Pivot Tables &amp; Charts'!$C$84:$C$88</definedName>
    <definedName name="_xlchart.v1.4" hidden="1">'Pivot Tables &amp; Charts'!$D$83</definedName>
    <definedName name="_xlchart.v1.5" hidden="1">'Pivot Tables &amp; Charts'!$D$84:$D$88</definedName>
    <definedName name="_xlcn.WorksheetConnection_Employees_Cleaning.xlsxEmployees_Clean" hidden="1">Employees_Clean[]</definedName>
    <definedName name="ExternalData_1" localSheetId="4" hidden="1">Employees_Clean!$A$1:$V$690</definedName>
    <definedName name="Slicer_Country">#N/A</definedName>
    <definedName name="Slicer_Department">#N/A</definedName>
    <definedName name="Slicer_Experience_Group">#N/A</definedName>
    <definedName name="Slicer_Gender">#N/A</definedName>
    <definedName name="Slicer_Job_Rate_Category">#N/A</definedName>
    <definedName name="Slicer_Overtime_Category">#N/A</definedName>
    <definedName name="Slicer_Salary_Classification">#N/A</definedName>
    <definedName name="Slicer_Start_Date__Year">#N/A</definedName>
  </definedNames>
  <calcPr calcId="191029"/>
  <pivotCaches>
    <pivotCache cacheId="863" r:id="rId7"/>
    <pivotCache cacheId="866" r:id="rId8"/>
    <pivotCache cacheId="869" r:id="rId9"/>
    <pivotCache cacheId="872" r:id="rId10"/>
    <pivotCache cacheId="875" r:id="rId11"/>
    <pivotCache cacheId="878" r:id="rId12"/>
    <pivotCache cacheId="881" r:id="rId13"/>
    <pivotCache cacheId="884" r:id="rId14"/>
    <pivotCache cacheId="887" r:id="rId15"/>
    <pivotCache cacheId="890" r:id="rId16"/>
    <pivotCache cacheId="893" r:id="rId17"/>
    <pivotCache cacheId="896" r:id="rId18"/>
    <pivotCache cacheId="899" r:id="rId19"/>
    <pivotCache cacheId="902" r:id="rId20"/>
    <pivotCache cacheId="905" r:id="rId21"/>
    <pivotCache cacheId="908" r:id="rId22"/>
    <pivotCache cacheId="911" r:id="rId23"/>
  </pivotCaches>
  <extLst>
    <ext xmlns:x14="http://schemas.microsoft.com/office/spreadsheetml/2009/9/main" uri="{876F7934-8845-4945-9796-88D515C7AA90}">
      <x14:pivotCaches>
        <pivotCache cacheId="17"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841E416B-1EF1-43b6-AB56-02D37102CBD5}">
      <x15:pivotCaches>
        <pivotCache cacheId="914" r:id="rId33"/>
        <pivotCache cacheId="917" r:id="rId34"/>
        <pivotCache cacheId="920" r:id="rId35"/>
        <pivotCache cacheId="923" r:id="rId36"/>
        <pivotCache cacheId="926" r:id="rId37"/>
        <pivotCache cacheId="929" r:id="rId38"/>
        <pivotCache cacheId="932" r:id="rId39"/>
        <pivotCache cacheId="935" r:id="rId40"/>
        <pivotCache cacheId="938" r:id="rId41"/>
        <pivotCache cacheId="941" r:id="rId42"/>
        <pivotCache cacheId="944" r:id="rId43"/>
        <pivotCache cacheId="947" r:id="rId44"/>
        <pivotCache cacheId="950" r:id="rId45"/>
        <pivotCache cacheId="953" r:id="rId46"/>
        <pivotCache cacheId="956" r:id="rId47"/>
        <pivotCache cacheId="959" r:id="rId48"/>
        <pivotCache cacheId="962" r:id="rId49"/>
        <pivotCache cacheId="965" r:id="rId50"/>
      </x15:pivotCaches>
    </ext>
    <ext xmlns:x15="http://schemas.microsoft.com/office/spreadsheetml/2010/11/main" uri="{983426D0-5260-488c-9760-48F4B6AC55F4}">
      <x15:pivotTableReferences>
        <x15:pivotTableReference r:id="rId51"/>
        <x15:pivotTableReference r:id="rId52"/>
        <x15:pivotTableReference r:id="rId53"/>
        <x15:pivotTableReference r:id="rId54"/>
        <x15:pivotTableReference r:id="rId55"/>
        <x15:pivotTableReference r:id="rId56"/>
        <x15:pivotTableReference r:id="rId57"/>
        <x15:pivotTableReference r:id="rId58"/>
        <x15:pivotTableReference r:id="rId59"/>
        <x15:pivotTableReference r:id="rId60"/>
        <x15:pivotTableReference r:id="rId61"/>
        <x15:pivotTableReference r:id="rId62"/>
        <x15:pivotTableReference r:id="rId63"/>
        <x15:pivotTableReference r:id="rId64"/>
        <x15:pivotTableReference r:id="rId65"/>
        <x15:pivotTableReference r:id="rId66"/>
        <x15:pivotTableReference r:id="rId67"/>
        <x15:pivotTableReference r:id="rId68"/>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s_Clean" name="Employees_Clean" connection="WorksheetConnection_Employees_Cleaning.xlsx!Employees_Clean"/>
        </x15:modelTables>
        <x15:extLst>
          <ext xmlns:x16="http://schemas.microsoft.com/office/spreadsheetml/2014/11/main" uri="{9835A34E-60A6-4A7C-AAB8-D5F71C897F49}">
            <x16:modelTimeGroupings>
              <x16:modelTimeGrouping tableName="Employees_Clean" columnName="Start Date" columnId="Start Date">
                <x16:calculatedTimeColumn columnName="Start Date (Year)" columnId="Start Date (Year)" contentType="years" isSelected="1"/>
                <x16:calculatedTimeColumn columnName="Start Date (Quarter)" columnId="Start Date (Quarter)" contentType="quarters" isSelected="1"/>
                <x16:calculatedTimeColumn columnName="Start Date (Month Index)" columnId="Start Date (Month Index)" contentType="monthsindex" isSelected="1"/>
                <x16:calculatedTimeColumn columnName="Start Date (Month)" columnId="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4" i="3" l="1" a="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C84" i="3" l="1"/>
  <c r="D88" i="3"/>
  <c r="D85" i="3"/>
  <c r="D87" i="3"/>
  <c r="D86" i="3"/>
  <c r="D8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07BD24-59C6-4DA9-A602-241BA544888D}" keepAlive="1" name="Query - Employees_Clean" description="Connection to the 'Employees_Clean' query in the workbook." type="5" refreshedVersion="8" background="1" saveData="1">
    <dbPr connection="Provider=Microsoft.Mashup.OleDb.1;Data Source=$Workbook$;Location=Employees_Clean;Extended Properties=&quot;&quot;" command="SELECT * FROM [Employees_Clean]"/>
  </connection>
  <connection id="2" xr16:uid="{BFB55721-6C39-4F22-9038-04BA6D9B85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1B305A8-4727-42DA-ADF7-1A1038C94A74}" name="WorksheetConnection_Employees_Cleaning.xlsx!Employees_Clean" type="102" refreshedVersion="8" minRefreshableVersion="5">
    <extLst>
      <ext xmlns:x15="http://schemas.microsoft.com/office/spreadsheetml/2010/11/main" uri="{DE250136-89BD-433C-8126-D09CA5730AF9}">
        <x15:connection id="Employees_Clean">
          <x15:rangePr sourceName="_xlcn.WorksheetConnection_Employees_Cleaning.xlsxEmployees_Clean"/>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<sst xmlns="http://schemas.openxmlformats.org/spreadsheetml/2006/main" count="12572" uniqueCount="1621">
  <si>
    <t>No</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</si>
  <si>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</si>
  <si>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</si>
  <si>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</si>
  <si>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</si>
  <si>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</si>
  <si>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</si>
  <si>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</si>
  <si>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</si>
  <si>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</si>
  <si>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</si>
  <si>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</si>
  <si>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</si>
  <si>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</si>
  <si>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</si>
  <si>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</si>
  <si>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</si>
  <si>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Quality Control</t>
  </si>
  <si>
    <t>Egypt</t>
  </si>
  <si>
    <t>West</t>
  </si>
  <si>
    <t>Omar</t>
  </si>
  <si>
    <t>Hishan</t>
  </si>
  <si>
    <t>Saudi Arabia</t>
  </si>
  <si>
    <t>Ailya</t>
  </si>
  <si>
    <t>Sharaf</t>
  </si>
  <si>
    <t>Major Mfg Projects</t>
  </si>
  <si>
    <t>Lwiy</t>
  </si>
  <si>
    <t>Qbany</t>
  </si>
  <si>
    <t>Manufacturing</t>
  </si>
  <si>
    <t>United Arab Emirates</t>
  </si>
  <si>
    <t>Ahmad</t>
  </si>
  <si>
    <t>Bikri</t>
  </si>
  <si>
    <t>Male</t>
  </si>
  <si>
    <t>Muhamad</t>
  </si>
  <si>
    <t>Zueitr</t>
  </si>
  <si>
    <t>Product Development</t>
  </si>
  <si>
    <t>North</t>
  </si>
  <si>
    <t>Iin</t>
  </si>
  <si>
    <t>Alhalaliu</t>
  </si>
  <si>
    <t>Sales</t>
  </si>
  <si>
    <t>Alaya</t>
  </si>
  <si>
    <t>Account Management</t>
  </si>
  <si>
    <t>Main</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</si>
  <si>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</si>
  <si>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</si>
  <si>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</si>
  <si>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</si>
  <si>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</si>
  <si>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</si>
  <si>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</si>
  <si>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</si>
  <si>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</si>
  <si>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</si>
  <si>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</si>
  <si>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</si>
  <si>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</si>
  <si>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</si>
  <si>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</si>
  <si>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</si>
  <si>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</si>
  <si>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</si>
  <si>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</si>
  <si>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</si>
  <si>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</si>
  <si>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</si>
  <si>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</si>
  <si>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</si>
  <si>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</si>
  <si>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</si>
  <si>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</si>
  <si>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</si>
  <si>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</si>
  <si>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</si>
  <si>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</si>
  <si>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</si>
  <si>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</si>
  <si>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</si>
  <si>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</si>
  <si>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</si>
  <si>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</si>
  <si>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</si>
  <si>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</si>
  <si>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</si>
  <si>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</si>
  <si>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</si>
  <si>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</si>
  <si>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</si>
  <si>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</si>
  <si>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</si>
  <si>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</si>
  <si>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</si>
  <si>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</si>
  <si>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</si>
  <si>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</si>
  <si>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</si>
  <si>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</si>
  <si>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</si>
  <si>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</si>
  <si>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</si>
  <si>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</si>
  <si>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</si>
  <si>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</si>
  <si>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</si>
  <si>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</si>
  <si>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</si>
  <si>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</si>
  <si>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</si>
  <si>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</si>
  <si>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</si>
  <si>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</si>
  <si>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</si>
  <si>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</si>
  <si>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</si>
  <si>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</si>
  <si>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</si>
  <si>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</si>
  <si>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</si>
  <si>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</si>
  <si>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</si>
  <si>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</si>
  <si>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</si>
  <si>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</si>
  <si>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</si>
  <si>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</si>
  <si>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</si>
  <si>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</si>
  <si>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</si>
  <si>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</si>
  <si>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</si>
  <si>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</si>
  <si>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</si>
  <si>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</si>
  <si>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</si>
  <si>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</si>
  <si>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</si>
  <si>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</si>
  <si>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</si>
  <si>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</si>
  <si>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</si>
  <si>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</si>
  <si>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</si>
  <si>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</si>
  <si>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</si>
  <si>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</si>
  <si>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</si>
  <si>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</si>
  <si>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</si>
  <si>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</si>
  <si>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</si>
  <si>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</si>
  <si>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</si>
  <si>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</si>
  <si>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</si>
  <si>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</si>
  <si>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</si>
  <si>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</si>
  <si>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</si>
  <si>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</si>
  <si>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</si>
  <si>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</si>
  <si>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</si>
  <si>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</si>
  <si>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</si>
  <si>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</si>
  <si>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</si>
  <si>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</si>
  <si>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</si>
  <si>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</si>
  <si>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</si>
  <si>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</si>
  <si>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</si>
  <si>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</si>
  <si>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</si>
  <si>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</si>
  <si>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</si>
  <si>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</si>
  <si>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</si>
  <si>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</si>
  <si>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</si>
  <si>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</si>
  <si>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</si>
  <si>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</si>
  <si>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</si>
  <si>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</si>
  <si>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</si>
  <si>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</si>
  <si>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</si>
  <si>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</si>
  <si>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</si>
  <si>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</si>
  <si>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</si>
  <si>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</si>
  <si>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</si>
  <si>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</si>
  <si>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</si>
  <si>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</si>
  <si>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</si>
  <si>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</si>
  <si>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</si>
  <si>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</si>
  <si>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</si>
  <si>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</si>
  <si>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</si>
  <si>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</si>
  <si>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</si>
  <si>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</si>
  <si>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</si>
  <si>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</si>
  <si>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</si>
  <si>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</si>
  <si>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</si>
  <si>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</si>
  <si>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</si>
  <si>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</si>
  <si>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</si>
  <si>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</si>
  <si>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</si>
  <si>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</si>
  <si>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</si>
  <si>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</si>
  <si>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</si>
  <si>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</si>
  <si>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</si>
  <si>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</si>
  <si>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</si>
  <si>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</si>
  <si>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</si>
  <si>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</si>
  <si>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</si>
  <si>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</si>
  <si>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</si>
  <si>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</si>
  <si>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</si>
  <si>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</si>
  <si>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</si>
  <si>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</si>
  <si>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</si>
  <si>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</si>
  <si>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</si>
  <si>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</si>
  <si>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</si>
  <si>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</si>
  <si>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</si>
  <si>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</si>
  <si>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</si>
  <si>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</si>
  <si>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</si>
  <si>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</si>
  <si>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</si>
  <si>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</si>
  <si>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</si>
  <si>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</si>
  <si>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</si>
  <si>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</si>
  <si>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</si>
  <si>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</si>
  <si>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</si>
  <si>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</si>
  <si>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</si>
  <si>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</si>
  <si>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</si>
  <si>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</si>
  <si>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</si>
  <si>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</si>
  <si>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</si>
  <si>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</si>
  <si>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</si>
  <si>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</si>
  <si>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</si>
  <si>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</si>
  <si>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</si>
  <si>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</si>
  <si>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</si>
  <si>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</si>
  <si>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</si>
  <si>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</si>
  <si>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</si>
  <si>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</si>
  <si>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</si>
  <si>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</si>
  <si>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</si>
  <si>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</si>
  <si>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</si>
  <si>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</si>
  <si>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</si>
  <si>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</si>
  <si>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</si>
  <si>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</si>
  <si>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</si>
  <si>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</si>
  <si>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</si>
  <si>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</si>
  <si>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</si>
  <si>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</si>
  <si>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</si>
  <si>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</si>
  <si>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</si>
  <si>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</si>
  <si>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</si>
  <si>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</si>
  <si>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</si>
  <si>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</si>
  <si>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</si>
  <si>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</si>
  <si>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</si>
  <si>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</si>
  <si>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</si>
  <si>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Female</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</si>
  <si>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</si>
  <si>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</si>
  <si>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</si>
  <si>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</si>
  <si>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</si>
  <si>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</si>
  <si>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</si>
  <si>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</si>
  <si>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</si>
  <si>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</si>
  <si>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</si>
  <si>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</si>
  <si>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</si>
  <si>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</si>
  <si>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</si>
  <si>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</si>
  <si>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</si>
  <si>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</si>
  <si>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</si>
  <si>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</si>
  <si>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</si>
  <si>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</si>
  <si>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</si>
  <si>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</si>
  <si>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</si>
  <si>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</si>
  <si>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</si>
  <si>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</si>
  <si>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</si>
  <si>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</si>
  <si>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</si>
  <si>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</si>
  <si>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</si>
  <si>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</si>
  <si>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</si>
  <si>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</si>
  <si>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</si>
  <si>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</si>
  <si>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</si>
  <si>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</si>
  <si>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</si>
  <si>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</si>
  <si>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</si>
  <si>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</si>
  <si>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</si>
  <si>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</si>
  <si>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</si>
  <si>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</si>
  <si>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</si>
  <si>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</si>
  <si>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</si>
  <si>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</si>
  <si>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</si>
  <si>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</si>
  <si>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</si>
  <si>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</si>
  <si>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</si>
  <si>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</si>
  <si>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</si>
  <si>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</si>
  <si>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</si>
  <si>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</si>
  <si>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</si>
  <si>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</si>
  <si>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</si>
  <si>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</si>
  <si>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</si>
  <si>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</si>
  <si>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</si>
  <si>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</si>
  <si>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</si>
  <si>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</si>
  <si>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</si>
  <si>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</si>
  <si>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</si>
  <si>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</si>
  <si>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</si>
  <si>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</si>
  <si>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</si>
  <si>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</si>
  <si>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</si>
  <si>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</si>
  <si>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</si>
  <si>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</si>
  <si>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</si>
  <si>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</si>
  <si>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</si>
  <si>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</si>
  <si>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</si>
  <si>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</si>
  <si>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</si>
  <si>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</si>
  <si>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</si>
  <si>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</si>
  <si>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</si>
  <si>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</si>
  <si>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</si>
  <si>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</si>
  <si>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</si>
  <si>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</si>
  <si>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</si>
  <si>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</si>
  <si>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</si>
  <si>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</si>
  <si>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</si>
  <si>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</si>
  <si>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</si>
  <si>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</si>
  <si>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</si>
  <si>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</si>
  <si>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</si>
  <si>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</si>
  <si>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</si>
  <si>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</si>
  <si>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</si>
  <si>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</si>
  <si>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</si>
  <si>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</si>
  <si>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</si>
  <si>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</si>
  <si>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</si>
  <si>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</si>
  <si>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</si>
  <si>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</si>
  <si>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</si>
  <si>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</si>
  <si>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</si>
  <si>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</si>
  <si>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</si>
  <si>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</si>
  <si>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</si>
  <si>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</si>
  <si>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</si>
  <si>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</si>
  <si>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</si>
  <si>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</si>
  <si>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</si>
  <si>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</si>
  <si>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</si>
  <si>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</si>
  <si>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</si>
  <si>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</si>
  <si>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</si>
  <si>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</si>
  <si>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</si>
  <si>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</si>
  <si>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</si>
  <si>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</si>
  <si>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</si>
  <si>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</si>
  <si>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</si>
  <si>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</si>
  <si>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</si>
  <si>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</si>
  <si>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</si>
  <si>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</si>
  <si>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</si>
  <si>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</si>
  <si>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</si>
  <si>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</si>
  <si>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</si>
  <si>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</si>
  <si>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</si>
  <si>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</si>
  <si>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</si>
  <si>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</si>
  <si>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</si>
  <si>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</si>
  <si>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</si>
  <si>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</si>
  <si>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</si>
  <si>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</si>
  <si>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</si>
  <si>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</si>
  <si>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</si>
  <si>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</si>
  <si>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</si>
  <si>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</si>
  <si>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</si>
  <si>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</si>
  <si>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</si>
  <si>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</si>
  <si>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</si>
  <si>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</si>
  <si>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</si>
  <si>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</si>
  <si>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</si>
  <si>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</si>
  <si>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</si>
  <si>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</si>
  <si>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</si>
  <si>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</si>
  <si>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</si>
  <si>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</si>
  <si>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</si>
  <si>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</si>
  <si>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</si>
  <si>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</si>
  <si>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</si>
  <si>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</si>
  <si>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</si>
  <si>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</si>
  <si>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</si>
  <si>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</si>
  <si>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</si>
  <si>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</si>
  <si>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</si>
  <si>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</si>
  <si>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</si>
  <si>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</si>
  <si>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</si>
  <si>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</si>
  <si>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</si>
  <si>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</si>
  <si>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</si>
  <si>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</si>
  <si>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</si>
  <si>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</si>
  <si>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</si>
  <si>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</si>
  <si>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</si>
  <si>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</si>
  <si>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</si>
  <si>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</si>
  <si>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</si>
  <si>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</si>
  <si>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</si>
  <si>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</si>
  <si>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</si>
  <si>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</si>
  <si>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</si>
  <si>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</si>
  <si>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</si>
  <si>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</si>
  <si>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</si>
  <si>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</si>
  <si>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</si>
  <si>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</si>
  <si>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</si>
  <si>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</si>
  <si>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</si>
  <si>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</si>
  <si>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</si>
  <si>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</si>
  <si>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</si>
  <si>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</si>
  <si>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</si>
  <si>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</si>
  <si>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</si>
  <si>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</si>
  <si>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</si>
  <si>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</si>
  <si>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</si>
  <si>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</si>
  <si>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</si>
  <si>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</si>
  <si>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</si>
  <si>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</si>
  <si>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</si>
  <si>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</si>
  <si>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</si>
  <si>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</si>
  <si>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</si>
  <si>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</si>
  <si>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</si>
  <si>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</si>
  <si>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</si>
  <si>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</si>
  <si>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</si>
  <si>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</si>
  <si>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</si>
  <si>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</si>
  <si>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</si>
  <si>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</si>
  <si>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</si>
  <si>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</si>
  <si>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</si>
  <si>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</si>
  <si>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</si>
  <si>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</si>
  <si>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</si>
  <si>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</si>
  <si>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</si>
  <si>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</si>
  <si>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</si>
  <si>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</si>
  <si>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</si>
  <si>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</si>
  <si>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</si>
  <si>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</si>
  <si>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</si>
  <si>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</si>
  <si>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</si>
  <si>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</si>
  <si>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</si>
  <si>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</si>
  <si>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</si>
  <si>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</si>
  <si>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</si>
  <si>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</si>
  <si>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</si>
  <si>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</si>
  <si>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</si>
  <si>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</si>
  <si>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</si>
  <si>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</si>
  <si>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</si>
  <si>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</si>
  <si>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</si>
  <si>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</si>
  <si>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</si>
  <si>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</si>
  <si>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</si>
  <si>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</si>
  <si>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</si>
  <si>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</si>
  <si>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</si>
  <si>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</si>
  <si>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</si>
  <si>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</si>
  <si>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</si>
  <si>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</si>
  <si>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</si>
  <si>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</si>
  <si>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</si>
  <si>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</si>
  <si>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</si>
  <si>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</si>
  <si>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</si>
  <si>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</si>
  <si>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</si>
  <si>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</si>
  <si>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</si>
  <si>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</si>
  <si>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</si>
  <si>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</si>
  <si>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</si>
  <si>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</si>
  <si>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</si>
  <si>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</si>
  <si>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</si>
  <si>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</si>
  <si>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</si>
  <si>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</si>
  <si>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</si>
  <si>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</si>
  <si>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</si>
  <si>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</si>
  <si>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</si>
  <si>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</si>
  <si>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</si>
  <si>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</si>
  <si>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</si>
  <si>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</si>
  <si>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</si>
  <si>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</si>
  <si>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</si>
  <si>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</si>
  <si>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</si>
  <si>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</si>
  <si>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</si>
  <si>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</si>
  <si>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</si>
  <si>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</si>
  <si>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</si>
  <si>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</si>
  <si>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</si>
  <si>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</si>
  <si>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</si>
  <si>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</si>
  <si>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</si>
  <si>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</si>
  <si>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</si>
  <si>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</si>
  <si>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</si>
  <si>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</si>
  <si>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</si>
  <si>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</si>
  <si>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</si>
  <si>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</si>
  <si>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</si>
  <si>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</si>
  <si>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</si>
  <si>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</si>
  <si>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</si>
  <si>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</si>
  <si>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</si>
  <si>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</si>
  <si>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</si>
  <si>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</si>
  <si>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</si>
  <si>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</si>
  <si>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</si>
  <si>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</si>
  <si>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</si>
  <si>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</si>
  <si>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</si>
  <si>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</si>
  <si>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</si>
  <si>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</si>
  <si>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</si>
  <si>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</si>
  <si>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</si>
  <si>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</si>
  <si>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</si>
  <si>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</si>
  <si>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</si>
  <si>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</si>
  <si>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</si>
  <si>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</si>
  <si>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</si>
  <si>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</si>
  <si>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</si>
  <si>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</si>
  <si>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</si>
  <si>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</si>
  <si>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</si>
  <si>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</si>
  <si>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</si>
  <si>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</si>
  <si>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</si>
  <si>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</si>
  <si>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</si>
  <si>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</si>
  <si>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</si>
  <si>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</si>
  <si>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</si>
  <si>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</si>
  <si>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</si>
  <si>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</si>
  <si>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</si>
  <si>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</si>
  <si>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</si>
  <si>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</si>
  <si>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</si>
  <si>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</si>
  <si>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</si>
  <si>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</si>
  <si>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</si>
  <si>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</si>
  <si>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</si>
  <si>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</si>
  <si>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</si>
  <si>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</si>
  <si>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</si>
  <si>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</si>
  <si>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</si>
  <si>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</si>
  <si>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</si>
  <si>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</si>
  <si>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</si>
  <si>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</si>
  <si>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</si>
  <si>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</si>
  <si>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</si>
  <si>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</si>
  <si>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</si>
  <si>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</si>
  <si>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</si>
  <si>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</si>
  <si>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</si>
  <si>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</si>
  <si>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</si>
  <si>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</si>
  <si>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</si>
  <si>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</si>
  <si>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</si>
  <si>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</si>
  <si>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</si>
  <si>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</si>
  <si>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</si>
  <si>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</si>
  <si>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</si>
  <si>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</si>
  <si>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</si>
  <si>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</si>
  <si>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</si>
  <si>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</si>
  <si>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</si>
  <si>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</si>
  <si>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</si>
  <si>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</si>
  <si>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</si>
  <si>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</si>
  <si>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</si>
  <si>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</si>
  <si>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</si>
  <si>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</si>
  <si>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</si>
  <si>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</si>
  <si>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</si>
  <si>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</si>
  <si>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</si>
  <si>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</si>
  <si>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</si>
  <si>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</si>
  <si>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</si>
  <si>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</si>
  <si>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</si>
  <si>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</si>
  <si>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</si>
  <si>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</si>
  <si>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</si>
  <si>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</si>
  <si>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</si>
  <si>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</si>
  <si>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</si>
  <si>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</si>
  <si>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</si>
  <si>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</si>
  <si>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</si>
  <si>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</si>
  <si>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</si>
  <si>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</si>
  <si>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</si>
  <si>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</si>
  <si>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</si>
  <si>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</si>
  <si>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</si>
  <si>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</si>
  <si>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</si>
  <si>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</si>
  <si>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</si>
  <si>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</si>
  <si>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</si>
  <si>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</si>
  <si>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</si>
  <si>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</si>
  <si>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</si>
  <si>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</si>
  <si>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</si>
  <si>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</si>
  <si>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</si>
  <si>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</si>
  <si>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</si>
  <si>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</si>
  <si>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</si>
  <si>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</si>
  <si>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</si>
  <si>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</si>
  <si>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</si>
  <si>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</si>
  <si>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</si>
  <si>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</si>
  <si>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</si>
  <si>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</si>
  <si>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</si>
  <si>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</si>
  <si>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</si>
  <si>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</si>
  <si>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</si>
  <si>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</si>
  <si>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</si>
  <si>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</si>
  <si>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</si>
  <si>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</si>
  <si>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</si>
  <si>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</si>
  <si>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</si>
  <si>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</si>
  <si>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</si>
  <si>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</si>
  <si>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</si>
  <si>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</si>
  <si>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</si>
  <si>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</si>
  <si>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</si>
  <si>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</si>
  <si>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</si>
  <si>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</si>
  <si>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</si>
  <si>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</si>
  <si>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</si>
  <si>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</si>
  <si>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</si>
  <si>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</si>
  <si>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</si>
  <si>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</si>
  <si>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</si>
  <si>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</si>
  <si>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</si>
  <si>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</si>
  <si>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</si>
  <si>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</si>
  <si>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</si>
  <si>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</si>
  <si>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</si>
  <si>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</si>
  <si>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</si>
  <si>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</si>
  <si>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East</t>
  </si>
  <si>
    <t>Full Name</t>
  </si>
  <si>
    <t>Experience Group</t>
  </si>
  <si>
    <t>Salary Classification</t>
  </si>
  <si>
    <t>Salary per Experience</t>
  </si>
  <si>
    <t>Job Rate Category</t>
  </si>
  <si>
    <t>Leave Category</t>
  </si>
  <si>
    <t>Overtime Category</t>
  </si>
  <si>
    <t>Ghadir Hmshw</t>
  </si>
  <si>
    <t>7-8 Years</t>
  </si>
  <si>
    <t>Medium</t>
  </si>
  <si>
    <t>Low</t>
  </si>
  <si>
    <t>High Overtime</t>
  </si>
  <si>
    <t>Omar Hishan</t>
  </si>
  <si>
    <t>5-6 Years</t>
  </si>
  <si>
    <t>High</t>
  </si>
  <si>
    <t>Ailya Sharaf</t>
  </si>
  <si>
    <t>Lwiy Qbany</t>
  </si>
  <si>
    <t>No Leave</t>
  </si>
  <si>
    <t>Normal</t>
  </si>
  <si>
    <t>Ahmad Bikri</t>
  </si>
  <si>
    <t>Muhamad Zueitr</t>
  </si>
  <si>
    <t>9-10 Years</t>
  </si>
  <si>
    <t>Iin Alhalaliu</t>
  </si>
  <si>
    <t>Muhamad Alaya</t>
  </si>
  <si>
    <t>Susin Almilat</t>
  </si>
  <si>
    <t>Muhamad Alrifaei</t>
  </si>
  <si>
    <t>Muhamad Alqadah</t>
  </si>
  <si>
    <t>Muhamad Iad</t>
  </si>
  <si>
    <t>Razaan Nasif</t>
  </si>
  <si>
    <t>Iilian Dbs</t>
  </si>
  <si>
    <t>Bayan Qdw</t>
  </si>
  <si>
    <t>Alaa Muhamad</t>
  </si>
  <si>
    <t>Sandra Aljurmqaniu</t>
  </si>
  <si>
    <t>Farahad Husayn</t>
  </si>
  <si>
    <t>Ahed Salim</t>
  </si>
  <si>
    <t>Ayham Tutwnji</t>
  </si>
  <si>
    <t>Samir Alsafdi</t>
  </si>
  <si>
    <t>Bilal Jalal</t>
  </si>
  <si>
    <t>Riad Sahalul</t>
  </si>
  <si>
    <t>Ahmad Ahmad</t>
  </si>
  <si>
    <t>Muhamad Altarah</t>
  </si>
  <si>
    <t>Lwna Abu</t>
  </si>
  <si>
    <t>Jalal Almuluhi</t>
  </si>
  <si>
    <t>Rana Mius</t>
  </si>
  <si>
    <t>Lina Aljabaan</t>
  </si>
  <si>
    <t>Rami Shanan</t>
  </si>
  <si>
    <t>Eala Alhaj</t>
  </si>
  <si>
    <t>Ghalib Zakianiin</t>
  </si>
  <si>
    <t>Muhamad Eurul</t>
  </si>
  <si>
    <t>Eizat Ghanim</t>
  </si>
  <si>
    <t>Ahmad Swyd</t>
  </si>
  <si>
    <t>Muhamad Aleass</t>
  </si>
  <si>
    <t>Rima AlAsfar</t>
  </si>
  <si>
    <t>Zayn Aleabdyn Zaetar</t>
  </si>
  <si>
    <t>Hazim Alshshatim</t>
  </si>
  <si>
    <t>Dia Alshahf</t>
  </si>
  <si>
    <t>No Overtime</t>
  </si>
  <si>
    <t>Ayham Almusaa</t>
  </si>
  <si>
    <t>Abd Allatif Mabrukh</t>
  </si>
  <si>
    <t>Salim Abumaeun</t>
  </si>
  <si>
    <t>Rafat Hamza</t>
  </si>
  <si>
    <t>Ahmad Laylana</t>
  </si>
  <si>
    <t>Lobnaa Khalifih</t>
  </si>
  <si>
    <t>Sami Alkhujih</t>
  </si>
  <si>
    <t>Salam Alealbi</t>
  </si>
  <si>
    <t>Rim Almusaa</t>
  </si>
  <si>
    <t>Ghada Aleasimii</t>
  </si>
  <si>
    <t>Abd Alwahhab Muhamad</t>
  </si>
  <si>
    <t>Ayman Eubayd</t>
  </si>
  <si>
    <t>Faras Karim</t>
  </si>
  <si>
    <t>Shadi Salayk</t>
  </si>
  <si>
    <t>Eubay Alttahir</t>
  </si>
  <si>
    <t>Abd Alhadi Alzzahir</t>
  </si>
  <si>
    <t>Majdulin Ashbrh</t>
  </si>
  <si>
    <t>Aylyn Dahadal</t>
  </si>
  <si>
    <t>Tala Tuish</t>
  </si>
  <si>
    <t>Muhamad Qarh</t>
  </si>
  <si>
    <t>Eala Almisri</t>
  </si>
  <si>
    <t>Muhamad Alzaybq</t>
  </si>
  <si>
    <t>Muhamad Asamy</t>
  </si>
  <si>
    <t>Ahmad Alealbi</t>
  </si>
  <si>
    <t>Ibrahim Almasri</t>
  </si>
  <si>
    <t>Hamdah Alkhalifa</t>
  </si>
  <si>
    <t>Muhamad Jawish</t>
  </si>
  <si>
    <t>Muwmin Almudhin</t>
  </si>
  <si>
    <t>Ahmad Zayd</t>
  </si>
  <si>
    <t>Layzaan Nabulsi</t>
  </si>
  <si>
    <t>Sarih Eammar</t>
  </si>
  <si>
    <t>Karam Hutayniun</t>
  </si>
  <si>
    <t>Shahad Shanan</t>
  </si>
  <si>
    <t>Salah Ramadan</t>
  </si>
  <si>
    <t>Sami Alkhayrat</t>
  </si>
  <si>
    <t>Khalid Snan</t>
  </si>
  <si>
    <t>Salam Alkhatib</t>
  </si>
  <si>
    <t>Darar Alshiyraziu</t>
  </si>
  <si>
    <t>Mazin Yusif</t>
  </si>
  <si>
    <t>Rasha Naeim</t>
  </si>
  <si>
    <t>Eamra Alshueranii</t>
  </si>
  <si>
    <t>Amira Akrym</t>
  </si>
  <si>
    <t>Muhamad Hamzat</t>
  </si>
  <si>
    <t>Muhamad Khayr</t>
  </si>
  <si>
    <t>Abd Almalik Nazal</t>
  </si>
  <si>
    <t>Rabya Kiwan</t>
  </si>
  <si>
    <t>Samah Almaydanii</t>
  </si>
  <si>
    <t>Ali Watar</t>
  </si>
  <si>
    <t>Darin Ghunum</t>
  </si>
  <si>
    <t>Faras Alhamal</t>
  </si>
  <si>
    <t>Amal Asamy</t>
  </si>
  <si>
    <t>Razan AlAhmad</t>
  </si>
  <si>
    <t>Muhamad Kharasah</t>
  </si>
  <si>
    <t>Tariq Bryghl</t>
  </si>
  <si>
    <t>Muhamad Husayn</t>
  </si>
  <si>
    <t>Fadi Aleid</t>
  </si>
  <si>
    <t>Tariq Abuzahir</t>
  </si>
  <si>
    <t>Mazin Eubayd</t>
  </si>
  <si>
    <t>Lina Aljabr</t>
  </si>
  <si>
    <t>Muhamad Ayman</t>
  </si>
  <si>
    <t>Ayman Muhamad</t>
  </si>
  <si>
    <t>Ahmad Abu Eadlh</t>
  </si>
  <si>
    <t>Rami Abu Adhan</t>
  </si>
  <si>
    <t>Ehab Alkhibaz</t>
  </si>
  <si>
    <t>Ibrahim Nabulsi</t>
  </si>
  <si>
    <t>Ranya Salah Aldiyn</t>
  </si>
  <si>
    <t>Juri Zaytun</t>
  </si>
  <si>
    <t>Sahar Almuhamad</t>
  </si>
  <si>
    <t>Mari Ayly</t>
  </si>
  <si>
    <t>Ali Alhuri</t>
  </si>
  <si>
    <t>Dania Almala</t>
  </si>
  <si>
    <t>Rym Alsydawi</t>
  </si>
  <si>
    <t>Mahir Alshear</t>
  </si>
  <si>
    <t>Ibrahim Alhamid</t>
  </si>
  <si>
    <t>Muhamad Alkhayr</t>
  </si>
  <si>
    <t>Muhamad Bashshar</t>
  </si>
  <si>
    <t>Muhamad Jhad</t>
  </si>
  <si>
    <t>Limays Ghrz</t>
  </si>
  <si>
    <t>Zaydun Jabir</t>
  </si>
  <si>
    <t>Fatima Zaetar</t>
  </si>
  <si>
    <t>Tariq Shakir</t>
  </si>
  <si>
    <t>Ruyda Alhamadii</t>
  </si>
  <si>
    <t>Anwar Almaseud</t>
  </si>
  <si>
    <t>Fayaruz Sabih</t>
  </si>
  <si>
    <t>Jwny Alrashid</t>
  </si>
  <si>
    <t>Karam Kiali</t>
  </si>
  <si>
    <t>Jamal Alhalib</t>
  </si>
  <si>
    <t>Suzan Alsawis</t>
  </si>
  <si>
    <t>Alaa Efan</t>
  </si>
  <si>
    <t>Jihad Aldarawasha</t>
  </si>
  <si>
    <t>Muhamad Khalid</t>
  </si>
  <si>
    <t>Haithim Hujah</t>
  </si>
  <si>
    <t>Duhana Alakhris</t>
  </si>
  <si>
    <t>Eazalidin Almala</t>
  </si>
  <si>
    <t>Habib Klizli</t>
  </si>
  <si>
    <t>Rasha Bajubuj</t>
  </si>
  <si>
    <t>Mahir Albaghdadi</t>
  </si>
  <si>
    <t>Alaa Almunzilijiu</t>
  </si>
  <si>
    <t>Labanaa Qaziyha</t>
  </si>
  <si>
    <t>Fatnh Abu</t>
  </si>
  <si>
    <t>Iilyas Dahadal</t>
  </si>
  <si>
    <t>Rim Huaydi</t>
  </si>
  <si>
    <t>Ahmad Muhamad</t>
  </si>
  <si>
    <t>Abd Alruhmin Almahrus</t>
  </si>
  <si>
    <t>Biaism Tyzry</t>
  </si>
  <si>
    <t>Omar Milatu</t>
  </si>
  <si>
    <t>Alyida Nieamah</t>
  </si>
  <si>
    <t>Kamal Hajl</t>
  </si>
  <si>
    <t>Amjad Naghnagh</t>
  </si>
  <si>
    <t>Iin Qisi</t>
  </si>
  <si>
    <t>Basmah Alhabis</t>
  </si>
  <si>
    <t>Eala Dahbur</t>
  </si>
  <si>
    <t>Rwbyna Iibrahim</t>
  </si>
  <si>
    <t>Tariq Salim</t>
  </si>
  <si>
    <t>Basimah Sybea</t>
  </si>
  <si>
    <t>Zunar Eali</t>
  </si>
  <si>
    <t>Rim Mia</t>
  </si>
  <si>
    <t>Lana Alhabash</t>
  </si>
  <si>
    <t>Muhamad Alshghry</t>
  </si>
  <si>
    <t>Ghazal Hisan</t>
  </si>
  <si>
    <t>Khalil Alzaebii</t>
  </si>
  <si>
    <t>Samir Shalish</t>
  </si>
  <si>
    <t>Abdalmjid Ahmad</t>
  </si>
  <si>
    <t>Emar Abil</t>
  </si>
  <si>
    <t>Lamia Warur</t>
  </si>
  <si>
    <t>Fyfian Abu</t>
  </si>
  <si>
    <t>Majd Yasin</t>
  </si>
  <si>
    <t>Alaa Almisri</t>
  </si>
  <si>
    <t>Muhamad Amir</t>
  </si>
  <si>
    <t>Lilas Balatah</t>
  </si>
  <si>
    <t>Ruaa Mukiin</t>
  </si>
  <si>
    <t>Rana Shaeban</t>
  </si>
  <si>
    <t>Muwmin Ewad</t>
  </si>
  <si>
    <t>Rahaf Alaleppoy</t>
  </si>
  <si>
    <t>Samiah Alsaedi</t>
  </si>
  <si>
    <t>Rim Hamdu</t>
  </si>
  <si>
    <t>Aishah Alquatliu</t>
  </si>
  <si>
    <t>Dany Albaba</t>
  </si>
  <si>
    <t>Muhamad Rinkusi</t>
  </si>
  <si>
    <t>Isam Jadid</t>
  </si>
  <si>
    <t>Bushraa Drwysh</t>
  </si>
  <si>
    <t>Zakarian Rashwani</t>
  </si>
  <si>
    <t>Fadi Alqadi</t>
  </si>
  <si>
    <t>Diea Almarstani</t>
  </si>
  <si>
    <t>Muhamad Siedih</t>
  </si>
  <si>
    <t>Bisam Almisri</t>
  </si>
  <si>
    <t>Muhamad Alkhatib</t>
  </si>
  <si>
    <t>Muhamad Rghid</t>
  </si>
  <si>
    <t>Omar Shakir</t>
  </si>
  <si>
    <t>Aryj Hamada</t>
  </si>
  <si>
    <t>Madlin Saeid</t>
  </si>
  <si>
    <t>Rybal Sabagh</t>
  </si>
  <si>
    <t>Samar Alqutb</t>
  </si>
  <si>
    <t>Eala Murad</t>
  </si>
  <si>
    <t>Ahmad Salih</t>
  </si>
  <si>
    <t>Muhamad Alziyat</t>
  </si>
  <si>
    <t>Ali Nhl</t>
  </si>
  <si>
    <t>Saed Alsiyah</t>
  </si>
  <si>
    <t>Majdy Rafaea</t>
  </si>
  <si>
    <t>Ihsan Eazu</t>
  </si>
  <si>
    <t>Iad Alshaykh</t>
  </si>
  <si>
    <t>Bara Alrrashid</t>
  </si>
  <si>
    <t>Fadi Nuna</t>
  </si>
  <si>
    <t>Muhamad Salah</t>
  </si>
  <si>
    <t>Bima Mustafaa</t>
  </si>
  <si>
    <t>Husam Abu Shwmr</t>
  </si>
  <si>
    <t>Abdalrahmin Turkmany</t>
  </si>
  <si>
    <t>Majdulyn Alhakim</t>
  </si>
  <si>
    <t>Ahmad Abu Jaysh</t>
  </si>
  <si>
    <t>Majid Aleusud</t>
  </si>
  <si>
    <t>Bashshar Shakhashiru</t>
  </si>
  <si>
    <t>Malik Alshaykh</t>
  </si>
  <si>
    <t>Omar Zarzur</t>
  </si>
  <si>
    <t>Hasan Iismaeil</t>
  </si>
  <si>
    <t>Husayn Abu Nasir</t>
  </si>
  <si>
    <t>Mazin Earabi</t>
  </si>
  <si>
    <t>Zahir Eisaa</t>
  </si>
  <si>
    <t>Lama Sabiq</t>
  </si>
  <si>
    <t>Tariq Dw</t>
  </si>
  <si>
    <t>Jawaher Shaykhus</t>
  </si>
  <si>
    <t>Emam Mansur</t>
  </si>
  <si>
    <t>Muhamad Bulta</t>
  </si>
  <si>
    <t>Fatin Hamshu</t>
  </si>
  <si>
    <t>Abd Alruhmin Alnasar</t>
  </si>
  <si>
    <t>Fatin Red</t>
  </si>
  <si>
    <t>Ali Muhamad</t>
  </si>
  <si>
    <t>Rima Dwalyby</t>
  </si>
  <si>
    <t>Basil Musaa</t>
  </si>
  <si>
    <t>Antuan Litansdurfr</t>
  </si>
  <si>
    <t>Rashad Iidris</t>
  </si>
  <si>
    <t>Bidralidin Ahmdghrybw</t>
  </si>
  <si>
    <t>Faras Shaykh</t>
  </si>
  <si>
    <t>Muhamad Eala Aldiyn</t>
  </si>
  <si>
    <t>Khaldun Suqbani</t>
  </si>
  <si>
    <t>Lwna Albahra</t>
  </si>
  <si>
    <t>Ahmad Ezqul</t>
  </si>
  <si>
    <t>Salih Alhamuwd</t>
  </si>
  <si>
    <t>Muhamad Abu Zamil</t>
  </si>
  <si>
    <t>Fuad Alsyqly</t>
  </si>
  <si>
    <t>Muhamad Aldamshqi</t>
  </si>
  <si>
    <t>Sayf Aldiyn Alkmshh</t>
  </si>
  <si>
    <t>Muhamad Alssati</t>
  </si>
  <si>
    <t>Khalid Alem</t>
  </si>
  <si>
    <t>Ayham Aleisaa</t>
  </si>
  <si>
    <t>Abd Alruhmin Dulul</t>
  </si>
  <si>
    <t>Ruba Aleid</t>
  </si>
  <si>
    <t>Muhamad Badawiin</t>
  </si>
  <si>
    <t>Sharihan Rihan</t>
  </si>
  <si>
    <t>Ibrahim Alyasin</t>
  </si>
  <si>
    <t>Iin Mulaliyun</t>
  </si>
  <si>
    <t>Danah Almahdi</t>
  </si>
  <si>
    <t>Muhamad Sakar</t>
  </si>
  <si>
    <t>Lama Yasin</t>
  </si>
  <si>
    <t>Asf Abultif</t>
  </si>
  <si>
    <t>Ahmad Alshalaq</t>
  </si>
  <si>
    <t>Mazin Zawal</t>
  </si>
  <si>
    <t>Diana Aleabd</t>
  </si>
  <si>
    <t>Kawkab Qarqazan</t>
  </si>
  <si>
    <t>Thamir Abu Ghazy</t>
  </si>
  <si>
    <t>Muhamad Alabth</t>
  </si>
  <si>
    <t>Khadijah Abu Taqih</t>
  </si>
  <si>
    <t>Salwaa Alsyd</t>
  </si>
  <si>
    <t>Muayid Shbyb</t>
  </si>
  <si>
    <t>Rannym Tyru</t>
  </si>
  <si>
    <t>Iin Alhaju Bikr</t>
  </si>
  <si>
    <t>Jihad Aldukifi</t>
  </si>
  <si>
    <t>Sandurana Antun</t>
  </si>
  <si>
    <t>Eala Darkzifli</t>
  </si>
  <si>
    <t>Samir Alsaeid</t>
  </si>
  <si>
    <t>Amir Alhifar</t>
  </si>
  <si>
    <t>Lama Almala</t>
  </si>
  <si>
    <t>Hasan Kalthum</t>
  </si>
  <si>
    <t>Muhamad Saeadat</t>
  </si>
  <si>
    <t>Rana Eijrush</t>
  </si>
  <si>
    <t>Tariq Alkinaya</t>
  </si>
  <si>
    <t>Amjad Alrz</t>
  </si>
  <si>
    <t>Daniah Alhariri</t>
  </si>
  <si>
    <t>Hasan Quidr</t>
  </si>
  <si>
    <t>Muhamad Shaykh Janid</t>
  </si>
  <si>
    <t>Esamat Zaza</t>
  </si>
  <si>
    <t>Fadi Hububati</t>
  </si>
  <si>
    <t>Adnan Alhusayn</t>
  </si>
  <si>
    <t>Muhamad Allibad</t>
  </si>
  <si>
    <t>Tana Dahruj</t>
  </si>
  <si>
    <t>Muhamad Almtlq</t>
  </si>
  <si>
    <t>Sana Alhusayn</t>
  </si>
  <si>
    <t>Muhamad Bdraldyn</t>
  </si>
  <si>
    <t>Muhamad Eataya</t>
  </si>
  <si>
    <t>Fadi Aljizamati</t>
  </si>
  <si>
    <t>Alaa Alqasir</t>
  </si>
  <si>
    <t>Abd Alruhmin Salih</t>
  </si>
  <si>
    <t>Shilan Ahmad</t>
  </si>
  <si>
    <t>Hasan Aljasim</t>
  </si>
  <si>
    <t>Khalil Salam</t>
  </si>
  <si>
    <t>Majd Abuhamd</t>
  </si>
  <si>
    <t>Sami Qareush</t>
  </si>
  <si>
    <t>Rima Jaridiun</t>
  </si>
  <si>
    <t>Iin Alhumwi</t>
  </si>
  <si>
    <t>Akthum Eibdalbaqi</t>
  </si>
  <si>
    <t>Muhamad Almurashihi</t>
  </si>
  <si>
    <t>Batual Abu Fakhar</t>
  </si>
  <si>
    <t>Rinah Alkhuriu</t>
  </si>
  <si>
    <t>Muhamad Alsaqaraq</t>
  </si>
  <si>
    <t>Diea Sharina</t>
  </si>
  <si>
    <t>Jablah Alsulayman</t>
  </si>
  <si>
    <t>Muhamad Almaghribiu</t>
  </si>
  <si>
    <t>Kholoud Khayti</t>
  </si>
  <si>
    <t>Rahaf Jamul</t>
  </si>
  <si>
    <t>Faras Alrahil</t>
  </si>
  <si>
    <t>Abd Alrazzaq Gharah</t>
  </si>
  <si>
    <t>Alaa Saed</t>
  </si>
  <si>
    <t>Lylas Shiah</t>
  </si>
  <si>
    <t>Kinda Alaqre</t>
  </si>
  <si>
    <t>Muhamad Almisri</t>
  </si>
  <si>
    <t>Dinana Zaydan</t>
  </si>
  <si>
    <t>Amyrah Mudinih</t>
  </si>
  <si>
    <t>Safa AlAhmar</t>
  </si>
  <si>
    <t>Ahmad Eurman</t>
  </si>
  <si>
    <t>Abd Allah Almawsiliu</t>
  </si>
  <si>
    <t>Majd Eisaa</t>
  </si>
  <si>
    <t>Muhamad Salhany</t>
  </si>
  <si>
    <t>Ashraf Aleid</t>
  </si>
  <si>
    <t>Muhamad Shadi Alghazy</t>
  </si>
  <si>
    <t>Mazin Bytar</t>
  </si>
  <si>
    <t>Iin Farahat</t>
  </si>
  <si>
    <t>Lama Albazir</t>
  </si>
  <si>
    <t>Emar Alnisrin</t>
  </si>
  <si>
    <t>Afra Sharabi</t>
  </si>
  <si>
    <t>Ahmad Hamuwd</t>
  </si>
  <si>
    <t>Ramiz Aleuryan</t>
  </si>
  <si>
    <t>Iad Eaku</t>
  </si>
  <si>
    <t>Husayn Euthman</t>
  </si>
  <si>
    <t>Imran Hazruma</t>
  </si>
  <si>
    <t>Rawan Durkzili</t>
  </si>
  <si>
    <t>Muayid Shaqir</t>
  </si>
  <si>
    <t>Muanis Alsabagh</t>
  </si>
  <si>
    <t>Dijwar Husu</t>
  </si>
  <si>
    <t>Asama Eilwan</t>
  </si>
  <si>
    <t>Esamat Alhidad</t>
  </si>
  <si>
    <t>Tariq Zaeur</t>
  </si>
  <si>
    <t>Rasul Aleumurii</t>
  </si>
  <si>
    <t>Rawan Albaytar</t>
  </si>
  <si>
    <t>Omar Altuean</t>
  </si>
  <si>
    <t>Dalia Hamdan</t>
  </si>
  <si>
    <t>Omar Alhindi</t>
  </si>
  <si>
    <t>Ali Zyny</t>
  </si>
  <si>
    <t>Almuetaz Biallah</t>
  </si>
  <si>
    <t>Rabana Alsaman</t>
  </si>
  <si>
    <t>Ghada Khalid</t>
  </si>
  <si>
    <t>Esamat Alriys</t>
  </si>
  <si>
    <t>Amir Alkhatib</t>
  </si>
  <si>
    <t>Samirah Jumea</t>
  </si>
  <si>
    <t>Samir Alhaj Ali</t>
  </si>
  <si>
    <t>Farial Qulumih</t>
  </si>
  <si>
    <t>Salih Dawara</t>
  </si>
  <si>
    <t>Abdalhadi Salim</t>
  </si>
  <si>
    <t>Ruaa Qahraman</t>
  </si>
  <si>
    <t>Muhamad Mshati</t>
  </si>
  <si>
    <t>Shadi Altibae</t>
  </si>
  <si>
    <t>Ahmad Iidlibi</t>
  </si>
  <si>
    <t>Fadi Ghazzawi</t>
  </si>
  <si>
    <t>Basil Eabd Aleal</t>
  </si>
  <si>
    <t>Sali Musuh</t>
  </si>
  <si>
    <t>Alaa Iismaeil</t>
  </si>
  <si>
    <t>Maria Alhizae</t>
  </si>
  <si>
    <t>Ghazal Alghan</t>
  </si>
  <si>
    <t>Eala Mitri</t>
  </si>
  <si>
    <t>Muhamad Aleliwi</t>
  </si>
  <si>
    <t>Ahmad Almisri</t>
  </si>
  <si>
    <t>Ahmad Aldwltali</t>
  </si>
  <si>
    <t>Muhamad Udib</t>
  </si>
  <si>
    <t>Alaa Yuzbik</t>
  </si>
  <si>
    <t>Husayn Zaerur</t>
  </si>
  <si>
    <t>Saeid Mazlum</t>
  </si>
  <si>
    <t>Ahmad Alghurani</t>
  </si>
  <si>
    <t>Abd Alsamad Ahmad</t>
  </si>
  <si>
    <t>Amir Alhasan</t>
  </si>
  <si>
    <t>Alaa Altahhan</t>
  </si>
  <si>
    <t>Iad Mahfud</t>
  </si>
  <si>
    <t>Sarah Damrani</t>
  </si>
  <si>
    <t>Husam Aldubus</t>
  </si>
  <si>
    <t>Ahmad Zynu</t>
  </si>
  <si>
    <t>Lwy Abu</t>
  </si>
  <si>
    <t>Tariq Shams</t>
  </si>
  <si>
    <t>Muhamad Khalil</t>
  </si>
  <si>
    <t>Amal Alhusayn</t>
  </si>
  <si>
    <t>Fadi Shakur</t>
  </si>
  <si>
    <t>Abdalhai Sarhan</t>
  </si>
  <si>
    <t>Ahmad Alqadi</t>
  </si>
  <si>
    <t>Husam Albush</t>
  </si>
  <si>
    <t>Anas Eabidin</t>
  </si>
  <si>
    <t>Muhamad Ebdalwahd</t>
  </si>
  <si>
    <t>Khalid Iibrahim</t>
  </si>
  <si>
    <t>Muhamad Aleazm</t>
  </si>
  <si>
    <t>Maya Alhmwi</t>
  </si>
  <si>
    <t>Basil Khiat</t>
  </si>
  <si>
    <t>Muhamad Zaydan</t>
  </si>
  <si>
    <t>Randa Alajw</t>
  </si>
  <si>
    <t>Muhamad Alghazi</t>
  </si>
  <si>
    <t>Rahaf Eijluni</t>
  </si>
  <si>
    <t>Sultan Alhijar</t>
  </si>
  <si>
    <t>Asma Sadqawi</t>
  </si>
  <si>
    <t>Fulla Alkhalid</t>
  </si>
  <si>
    <t>Lujin Alaleppoy</t>
  </si>
  <si>
    <t>Jihan Alqudmani</t>
  </si>
  <si>
    <t>Anwar Alkhayran</t>
  </si>
  <si>
    <t>Qasim Muhamad</t>
  </si>
  <si>
    <t>Samir Altaynawi</t>
  </si>
  <si>
    <t>Alaa Hafiz</t>
  </si>
  <si>
    <t>Kamilia Sydu</t>
  </si>
  <si>
    <t>Ali Marwan</t>
  </si>
  <si>
    <t>Mahir Almarstani</t>
  </si>
  <si>
    <t>Rwad Alddahir</t>
  </si>
  <si>
    <t>Jury Eabuwd</t>
  </si>
  <si>
    <t>Sayban Musur</t>
  </si>
  <si>
    <t>Diana Muayid</t>
  </si>
  <si>
    <t>Lbyb Fahd</t>
  </si>
  <si>
    <t>Bashshar Bilul</t>
  </si>
  <si>
    <t>Ali Alnuwri</t>
  </si>
  <si>
    <t>Salim Aleabd</t>
  </si>
  <si>
    <t>Abd Alruhmin Allaham</t>
  </si>
  <si>
    <t>Muhamad Raft</t>
  </si>
  <si>
    <t>Ahmad Shakir</t>
  </si>
  <si>
    <t>Rasha Asead</t>
  </si>
  <si>
    <t>Omar Alwurhani</t>
  </si>
  <si>
    <t>Ayham Kharbutli</t>
  </si>
  <si>
    <t>Sahar Jaridiun</t>
  </si>
  <si>
    <t>Muhamad Tamur</t>
  </si>
  <si>
    <t>Ayham Alkhlf</t>
  </si>
  <si>
    <t>Emar Eisaf</t>
  </si>
  <si>
    <t>Iin Bitahish</t>
  </si>
  <si>
    <t>Abdalrhim Eimaruh</t>
  </si>
  <si>
    <t>Bashaer Hadalah</t>
  </si>
  <si>
    <t>Sana Maeruf</t>
  </si>
  <si>
    <t>Amir Alnuwnu</t>
  </si>
  <si>
    <t>Salim Albarghali</t>
  </si>
  <si>
    <t>Iin Murad</t>
  </si>
  <si>
    <t>Baha Aldiyn Marzuq</t>
  </si>
  <si>
    <t>Abd Alruhmin Hamj</t>
  </si>
  <si>
    <t>Ahmad Bradey</t>
  </si>
  <si>
    <t>Sabah Qadish</t>
  </si>
  <si>
    <t>Asra Almisri</t>
  </si>
  <si>
    <t>Faras Kawaara</t>
  </si>
  <si>
    <t>Muhamad Abunfis</t>
  </si>
  <si>
    <t>Lawiy Shiah</t>
  </si>
  <si>
    <t>Rama Alsaghir</t>
  </si>
  <si>
    <t>Ahmad Qadimati</t>
  </si>
  <si>
    <t>Qays Dahna</t>
  </si>
  <si>
    <t>Raja Eaziza</t>
  </si>
  <si>
    <t>Emar Nakaash</t>
  </si>
  <si>
    <t>Ranya Khuluf</t>
  </si>
  <si>
    <t>Kinda Zaki</t>
  </si>
  <si>
    <t>Muhamad Asamh Tubae</t>
  </si>
  <si>
    <t>Ahmad Daeas</t>
  </si>
  <si>
    <t>Muhamad Shadi Alkhiat</t>
  </si>
  <si>
    <t>Omaimah Tqi Aldiyn</t>
  </si>
  <si>
    <t>Tahani Yasir</t>
  </si>
  <si>
    <t>Hasan Alfywmi</t>
  </si>
  <si>
    <t>Zahir Zarie</t>
  </si>
  <si>
    <t>Muhamad Eaqad</t>
  </si>
  <si>
    <t>Ismaeil Jdwe</t>
  </si>
  <si>
    <t>Muhamad Saeid Alzarey</t>
  </si>
  <si>
    <t>Bakr Eubdallah</t>
  </si>
  <si>
    <t>Muhamad Basil</t>
  </si>
  <si>
    <t>Ahmad Alnajar</t>
  </si>
  <si>
    <t>Muhamad Alsaman</t>
  </si>
  <si>
    <t>Lina Wayly</t>
  </si>
  <si>
    <t>Raghid Hutayniun</t>
  </si>
  <si>
    <t>Ruba Alsiraj</t>
  </si>
  <si>
    <t>Adnan Allaadhiqanii</t>
  </si>
  <si>
    <t>Muhamad Shaeban</t>
  </si>
  <si>
    <t>Ghyath Abu</t>
  </si>
  <si>
    <t>Basil Farahat</t>
  </si>
  <si>
    <t>Khalid Siriul</t>
  </si>
  <si>
    <t>Salah Aldiyn Salayk</t>
  </si>
  <si>
    <t>Bilal Einziin</t>
  </si>
  <si>
    <t>Abdalrhmin Aljuju</t>
  </si>
  <si>
    <t>Lawy Nadaf</t>
  </si>
  <si>
    <t>Mahir Bikar</t>
  </si>
  <si>
    <t>Iad Alhusayn</t>
  </si>
  <si>
    <t>Husam Ziada</t>
  </si>
  <si>
    <t>Ahmad Eashur</t>
  </si>
  <si>
    <t>Ahmad Naqawuh</t>
  </si>
  <si>
    <t>Tamadur Barghuth</t>
  </si>
  <si>
    <t>Diea Jazar</t>
  </si>
  <si>
    <t>Bashshar Mareiun</t>
  </si>
  <si>
    <t>Abdaleziz Eiwad</t>
  </si>
  <si>
    <t>Amir Alkhawam</t>
  </si>
  <si>
    <t>Alia Maseud</t>
  </si>
  <si>
    <t>Asra Abuhani</t>
  </si>
  <si>
    <t>Ahmad Alshamy</t>
  </si>
  <si>
    <t>Baha Eusqul</t>
  </si>
  <si>
    <t>Muhamad Hylmyh</t>
  </si>
  <si>
    <t>Khadijah Turkamani</t>
  </si>
  <si>
    <t>Asra Jameah</t>
  </si>
  <si>
    <t>Akram Alhulwanii</t>
  </si>
  <si>
    <t>Samir Almisri</t>
  </si>
  <si>
    <t>Ahmad Iidris</t>
  </si>
  <si>
    <t>Khawla Dawi</t>
  </si>
  <si>
    <t>Rayid Zazana</t>
  </si>
  <si>
    <t>Razan Iybw</t>
  </si>
  <si>
    <t>Jamil Ghabur</t>
  </si>
  <si>
    <t>Alaa Sultan</t>
  </si>
  <si>
    <t>Sultan Taysir</t>
  </si>
  <si>
    <t>Hanan Kurdiun</t>
  </si>
  <si>
    <t>Basil Salih</t>
  </si>
  <si>
    <t>Rita Dib</t>
  </si>
  <si>
    <t>Muhamad Alghush</t>
  </si>
  <si>
    <t>Muhamad Iismaeil</t>
  </si>
  <si>
    <t>Khaldun Alsaedi</t>
  </si>
  <si>
    <t>Ghaliah Eibad</t>
  </si>
  <si>
    <t>Muhamad Alsaedi</t>
  </si>
  <si>
    <t>Eala Zaniqa</t>
  </si>
  <si>
    <t>Ayham Sharfah</t>
  </si>
  <si>
    <t>Ahmad Kazeur</t>
  </si>
  <si>
    <t>Mujdi Kiwan</t>
  </si>
  <si>
    <t>Muhamad Altynawi</t>
  </si>
  <si>
    <t>Lama Alhasan</t>
  </si>
  <si>
    <t>Lama Almisri</t>
  </si>
  <si>
    <t>Thayir Hamuwda</t>
  </si>
  <si>
    <t>Abdallah Zakariaa</t>
  </si>
  <si>
    <t>Ikhlas Alhasan</t>
  </si>
  <si>
    <t>Muhamad Jzayrly</t>
  </si>
  <si>
    <t>Husam Badr</t>
  </si>
  <si>
    <t>Rami Hunun</t>
  </si>
  <si>
    <t>Alia Abu</t>
  </si>
  <si>
    <t>Samir Sariji</t>
  </si>
  <si>
    <t>Muhamad Albieli</t>
  </si>
  <si>
    <t>Ahmad Eyd Bndqjy</t>
  </si>
  <si>
    <t>Maria Lulu</t>
  </si>
  <si>
    <t>Muhamad Shhybr</t>
  </si>
  <si>
    <t>Abdalbasit Aljazayiriu</t>
  </si>
  <si>
    <t>Bilal Aywbi</t>
  </si>
  <si>
    <t>Ahmad Dabana</t>
  </si>
  <si>
    <t>Fawaz Ghazal</t>
  </si>
  <si>
    <t>Bisam Altahhan</t>
  </si>
  <si>
    <t>Lilas Nafae</t>
  </si>
  <si>
    <t>Ranim Earabi</t>
  </si>
  <si>
    <t>Amani Altujjar</t>
  </si>
  <si>
    <t>Muhamad Rashid</t>
  </si>
  <si>
    <t>Amin Hamid</t>
  </si>
  <si>
    <t>Khalid Jameah</t>
  </si>
  <si>
    <t>Fahd Shaykh</t>
  </si>
  <si>
    <t>Lilas Kashik</t>
  </si>
  <si>
    <t>Fatima Hasan</t>
  </si>
  <si>
    <t>Diea Dakhal</t>
  </si>
  <si>
    <t>Amir Karishati</t>
  </si>
  <si>
    <t>Madlin Alsaed</t>
  </si>
  <si>
    <t>Adnan Aleaqla</t>
  </si>
  <si>
    <t>Muhamad Eursaly</t>
  </si>
  <si>
    <t>Ranya Alaishhab</t>
  </si>
  <si>
    <t>Rulaa Shannar</t>
  </si>
  <si>
    <t>Aynas Alhiwat</t>
  </si>
  <si>
    <t>Sara Tabanaj</t>
  </si>
  <si>
    <t>Abd Allah Aldahan</t>
  </si>
  <si>
    <t>Muhamad Ramzi</t>
  </si>
  <si>
    <t>Jan Mikayiylian</t>
  </si>
  <si>
    <t>Almuthanaa Alsaediu</t>
  </si>
  <si>
    <t>Emad Dulul</t>
  </si>
  <si>
    <t>Sarah Haydar</t>
  </si>
  <si>
    <t>Abdalkarim Shueayb</t>
  </si>
  <si>
    <t>Shadi Qitan</t>
  </si>
  <si>
    <t>Muhamad Rajab</t>
  </si>
  <si>
    <t>Khalid Alkhawam</t>
  </si>
  <si>
    <t>Muhamad Asamh</t>
  </si>
  <si>
    <t>Alaa Alyusif</t>
  </si>
  <si>
    <t>Asym Aleaqqad</t>
  </si>
  <si>
    <t>Ahmad Dahman</t>
  </si>
  <si>
    <t>Oqba Alqintar</t>
  </si>
  <si>
    <t>Rahaf Laylanaan</t>
  </si>
  <si>
    <t>Ramadan Muhii Aldiyn</t>
  </si>
  <si>
    <t>Zaynab Eirat</t>
  </si>
  <si>
    <t>Salah Aldiyn Altibae</t>
  </si>
  <si>
    <t>Faras Alghandur</t>
  </si>
  <si>
    <t>Husam Tamim</t>
  </si>
  <si>
    <t>Ayat Byd</t>
  </si>
  <si>
    <t>Rima Daly</t>
  </si>
  <si>
    <t>Muhamad Almunajid</t>
  </si>
  <si>
    <t>Eynas Muhamad</t>
  </si>
  <si>
    <t>Ahmad Ahmid</t>
  </si>
  <si>
    <t>Madlin Aljabaei</t>
  </si>
  <si>
    <t>Ali Alqadri</t>
  </si>
  <si>
    <t>Muhamad Dib</t>
  </si>
  <si>
    <t>Hanan Bradiei</t>
  </si>
  <si>
    <t>Danah Suirkili</t>
  </si>
  <si>
    <t>Ghada Darakal</t>
  </si>
  <si>
    <t>Mazin Bihtiti</t>
  </si>
  <si>
    <t>Ridwan Alshulyan</t>
  </si>
  <si>
    <t>Ali Barghaly</t>
  </si>
  <si>
    <t>Iad Badran</t>
  </si>
  <si>
    <t>Abdalrhmin Shwk</t>
  </si>
  <si>
    <t>Husam Aldiyn</t>
  </si>
  <si>
    <t>Ahmad Hamuwdatan</t>
  </si>
  <si>
    <t>Shuruq Aljuju</t>
  </si>
  <si>
    <t>Muhamad Alshahrur</t>
  </si>
  <si>
    <t>Rafif Khalf</t>
  </si>
  <si>
    <t>Muhamad Albarnawi</t>
  </si>
  <si>
    <t>Ali Almiqdad</t>
  </si>
  <si>
    <t>Ranya Faris</t>
  </si>
  <si>
    <t>Ali Alshaykh</t>
  </si>
  <si>
    <t>Iin Kafa</t>
  </si>
  <si>
    <t>Muhamad Almaghribi</t>
  </si>
  <si>
    <t>Sami Aldrwysh</t>
  </si>
  <si>
    <t>Samah Alkhatib</t>
  </si>
  <si>
    <t>Eala Hatim</t>
  </si>
  <si>
    <t>Dalia Nahlawi</t>
  </si>
  <si>
    <t>Rabye' Alzrqawy</t>
  </si>
  <si>
    <t>Kholoud Huquq</t>
  </si>
  <si>
    <t>Ibrahim Alqatish</t>
  </si>
  <si>
    <t>Salih Altawil</t>
  </si>
  <si>
    <t>Sami Alsyd Ahmad</t>
  </si>
  <si>
    <t>Zahir Aleitar</t>
  </si>
  <si>
    <t>Fatir Alealiu</t>
  </si>
  <si>
    <t>Samir Alealiu</t>
  </si>
  <si>
    <t>Muhamad Sulayman</t>
  </si>
  <si>
    <t>Muhamad Suqabani</t>
  </si>
  <si>
    <t>Muhamad Aldubbas</t>
  </si>
  <si>
    <t>Hamzaa Astitih</t>
  </si>
  <si>
    <t>Sulayman Zinu</t>
  </si>
  <si>
    <t>Alaa Alrifaei</t>
  </si>
  <si>
    <t>Rasha Alrifaei</t>
  </si>
  <si>
    <t>Bayan Darbika</t>
  </si>
  <si>
    <t>Iin Almunzilijiu</t>
  </si>
  <si>
    <t>Abd Alwahhab Aldhiyab</t>
  </si>
  <si>
    <t>Hanan Salahi</t>
  </si>
  <si>
    <t>Mari Ayuwb</t>
  </si>
  <si>
    <t>Omar Shawqi</t>
  </si>
  <si>
    <t>Tariq Aldhahabi</t>
  </si>
  <si>
    <t>Rama Asead</t>
  </si>
  <si>
    <t>Ghayth Eali</t>
  </si>
  <si>
    <t>Mahir Eabuwd</t>
  </si>
  <si>
    <t>Muwmin Almujahid</t>
  </si>
  <si>
    <t>Dima Drwysh</t>
  </si>
  <si>
    <t>Diea Filyun</t>
  </si>
  <si>
    <t>Muhamad Tasbihji</t>
  </si>
  <si>
    <t>Mazin Shumut</t>
  </si>
  <si>
    <t>Omar Zaqzuq</t>
  </si>
  <si>
    <t>Yasmin Eamir</t>
  </si>
  <si>
    <t>Muhamad Haydar</t>
  </si>
  <si>
    <t>Muhamad Ratib</t>
  </si>
  <si>
    <t>Muayid Siedih</t>
  </si>
  <si>
    <t>Husam Alhamd</t>
  </si>
  <si>
    <t>Abdalkrim Fadal</t>
  </si>
  <si>
    <t>Bayan Eurnus</t>
  </si>
  <si>
    <t>Abd Almueiyn Eitaya</t>
  </si>
  <si>
    <t>Sahar Qisam</t>
  </si>
  <si>
    <t>Rafat Musaa</t>
  </si>
  <si>
    <t>Shafiq Almalih</t>
  </si>
  <si>
    <t>Raghad Aghasi</t>
  </si>
  <si>
    <t>Ruba Alhumwi</t>
  </si>
  <si>
    <t>Bilal Alqalish</t>
  </si>
  <si>
    <t>Husayn Hawria</t>
  </si>
  <si>
    <t>Safa Alshahadat</t>
  </si>
  <si>
    <t>Ahmad Aldiyk</t>
  </si>
  <si>
    <t>Hind Almueasaeas</t>
  </si>
  <si>
    <t>Dania Earmush</t>
  </si>
  <si>
    <t>Ayly Bahriin</t>
  </si>
  <si>
    <t>Jihan Nadir</t>
  </si>
  <si>
    <t>Muhamad Sharif Aldaghly</t>
  </si>
  <si>
    <t>Emara bwalsibae</t>
  </si>
  <si>
    <t>Razzan Alhusayni</t>
  </si>
  <si>
    <t>Ghassan Aljamal</t>
  </si>
  <si>
    <t>Omar Kahulus</t>
  </si>
  <si>
    <t>Amjad Nasir</t>
  </si>
  <si>
    <t>Iman Ghrz Aldiyn</t>
  </si>
  <si>
    <t>Alysia Alyaghshiu</t>
  </si>
  <si>
    <t>Ayham Alqadi</t>
  </si>
  <si>
    <t>Diea Shuelan</t>
  </si>
  <si>
    <t>Husam Alsaed</t>
  </si>
  <si>
    <t>Asd Bwfaeur</t>
  </si>
  <si>
    <t>Sari Hanna</t>
  </si>
  <si>
    <t>Eubayda Kayd</t>
  </si>
  <si>
    <t>Khalil Alkalu</t>
  </si>
  <si>
    <t>Muhamad Shrbjy</t>
  </si>
  <si>
    <t>Abd Albasit AlAhmar</t>
  </si>
  <si>
    <t>Total Employees</t>
  </si>
  <si>
    <t>KPIs</t>
  </si>
  <si>
    <t>Total Annual Salary</t>
  </si>
  <si>
    <t>Average Monthly Salary</t>
  </si>
  <si>
    <t>Average Job Rate</t>
  </si>
  <si>
    <t>Total Overtime Hours</t>
  </si>
  <si>
    <t>Total Leaves</t>
  </si>
  <si>
    <t>Average Experience</t>
  </si>
  <si>
    <t>Grand Total</t>
  </si>
  <si>
    <t>Employees Overview By Department</t>
  </si>
  <si>
    <t>Employees by Country</t>
  </si>
  <si>
    <t>Gender Analysis</t>
  </si>
  <si>
    <t>Average of Overtime Hours</t>
  </si>
  <si>
    <t>Experience Analysis</t>
  </si>
  <si>
    <t>Experience Groups</t>
  </si>
  <si>
    <t>Overtime Analysis</t>
  </si>
  <si>
    <t>Salary Classification Analysis</t>
  </si>
  <si>
    <t>Salary Band Analysis</t>
  </si>
  <si>
    <t>Job Rate Analysis</t>
  </si>
  <si>
    <t>2016</t>
  </si>
  <si>
    <t>2017</t>
  </si>
  <si>
    <t>2018</t>
  </si>
  <si>
    <t>2019</t>
  </si>
  <si>
    <t>2020</t>
  </si>
  <si>
    <t>Count of Employees by years</t>
  </si>
  <si>
    <t>Sum of Sick Leaves</t>
  </si>
  <si>
    <t>Sum of Unpaid Leaves</t>
  </si>
  <si>
    <t>Leaves by Department</t>
  </si>
  <si>
    <t>Average of Annual Salary</t>
  </si>
  <si>
    <t>Top 10 Average Annual Salary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</si>
</sst>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0.0%"/>
  </numFmts>
  <fonts count="4" x14ac:knownFonts="1">
    <font>
      <sz val="12"/>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F8F5EE"/>
        <bgColor indexed="64"/>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14" fontId="0" fillId="0" borderId="0" xfId="0" applyNumberFormat="1"/>
    <xf numFmtId="1" fontId="0" fillId="0" borderId="0" xfId="0" applyNumberFormat="1"/>
    <xf numFmtId="0" fontId="0" fillId="0" borderId="0" xfId="0" applyNumberFormat="1"/>
    <xf numFmtId="43" fontId="0" fillId="0" borderId="0" xfId="1" applyFont="1"/>
    <xf numFmtId="0" fontId="0" fillId="0" borderId="0" xfId="0" pivotButton="1"/>
    <xf numFmtId="3" fontId="0" fillId="0" borderId="0" xfId="0" applyNumberFormat="1"/>
    <xf numFmtId="2" fontId="0" fillId="0" borderId="0" xfId="0" applyNumberFormat="1"/>
    <xf numFmtId="4" fontId="0" fillId="0" borderId="0" xfId="0" applyNumberFormat="1"/>
    <xf numFmtId="0" fontId="0" fillId="0" borderId="0" xfId="0" applyAlignment="1">
      <alignment horizontal="left"/>
    </xf>
    <xf numFmtId="164" fontId="0" fillId="0" borderId="0" xfId="0" applyNumberFormat="1"/>
    <xf numFmtId="164" fontId="0" fillId="0" borderId="0" xfId="1" applyNumberFormat="1" applyFont="1"/>
    <xf numFmtId="165" fontId="0" fillId="0" borderId="0" xfId="0" applyNumberFormat="1"/>
    <xf numFmtId="0" fontId="2" fillId="3" borderId="1" xfId="0" applyFont="1" applyFill="1" applyBorder="1"/>
    <xf numFmtId="0" fontId="0" fillId="4" borderId="0" xfId="0" applyFill="1"/>
    <xf numFmtId="0" fontId="3" fillId="2" borderId="0" xfId="0" applyFont="1" applyFill="1" applyAlignment="1">
      <alignment horizontal="center" vertical="center"/>
    </xf>
    <xf numFmtId="0" fontId="0" fillId="2" borderId="0" xfId="0" applyFill="1" applyAlignment="1">
      <alignment horizontal="center" vertical="center"/>
    </xf>
    <xf numFmtId="0" fontId="2" fillId="2" borderId="0" xfId="0" applyFont="1" applyFill="1" applyAlignment="1">
      <alignment horizontal="center" vertical="center"/>
    </xf>
  </cellXfs>
  <cellStyles count="2">
    <cellStyle name="Comma" xfId="1" builtinId="3"/>
    <cellStyle name="Normal" xfId="0" builtinId="0"/>
  </cellStyles>
  <dxfs count="57">
    <dxf>
      <numFmt numFmtId="3" formatCode="#,##0"/>
    </dxf>
    <dxf>
      <numFmt numFmtId="3" formatCode="#,##0"/>
    </dxf>
    <dxf>
      <numFmt numFmtId="164" formatCode="_(* #,##0_);_(* \(#,##0\);_(* &quot;-&quot;??_);_(@_)"/>
    </dxf>
    <dxf>
      <numFmt numFmtId="3" formatCode="#,##0"/>
    </dxf>
    <dxf>
      <numFmt numFmtId="3" formatCode="#,##0"/>
    </dxf>
    <dxf>
      <numFmt numFmtId="164" formatCode="_(* #,##0_);_(* \(#,##0\);_(* &quot;-&quot;??_);_(@_)"/>
    </dxf>
    <dxf>
      <numFmt numFmtId="3" formatCode="#,##0"/>
    </dxf>
    <dxf>
      <numFmt numFmtId="3" formatCode="#,##0"/>
    </dxf>
    <dxf>
      <numFmt numFmtId="164" formatCode="_(* #,##0_);_(* \(#,##0\);_(* &quot;-&quot;??_);_(@_)"/>
    </dxf>
    <dxf>
      <numFmt numFmtId="3" formatCode="#,##0"/>
    </dxf>
    <dxf>
      <numFmt numFmtId="3" formatCode="#,##0"/>
    </dxf>
    <dxf>
      <numFmt numFmtId="164" formatCode="_(* #,##0_);_(* \(#,##0\);_(* &quot;-&quot;??_);_(@_)"/>
    </dxf>
    <dxf>
      <numFmt numFmtId="3" formatCode="#,##0"/>
    </dxf>
    <dxf>
      <numFmt numFmtId="3" formatCode="#,##0"/>
    </dxf>
    <dxf>
      <numFmt numFmtId="164" formatCode="_(* #,##0_);_(* \(#,##0\);_(* &quot;-&quot;??_);_(@_)"/>
    </dxf>
    <dxf>
      <numFmt numFmtId="3" formatCode="#,##0"/>
    </dxf>
    <dxf>
      <numFmt numFmtId="3" formatCode="#,##0"/>
    </dxf>
    <dxf>
      <numFmt numFmtId="164" formatCode="_(* #,##0_);_(* \(#,##0\);_(* &quot;-&quot;??_);_(@_)"/>
    </dxf>
    <dxf>
      <numFmt numFmtId="3" formatCode="#,##0"/>
    </dxf>
    <dxf>
      <numFmt numFmtId="3" formatCode="#,##0"/>
    </dxf>
    <dxf>
      <numFmt numFmtId="164" formatCode="_(* #,##0_);_(* \(#,##0\);_(* &quot;-&quot;??_);_(@_)"/>
    </dxf>
    <dxf>
      <numFmt numFmtId="3" formatCode="#,##0"/>
    </dxf>
    <dxf>
      <numFmt numFmtId="3" formatCode="#,##0"/>
    </dxf>
    <dxf>
      <numFmt numFmtId="164" formatCode="_(* #,##0_);_(* \(#,##0\);_(* &quot;-&quot;??_);_(@_)"/>
    </dxf>
    <dxf>
      <numFmt numFmtId="3" formatCode="#,##0"/>
    </dxf>
    <dxf>
      <numFmt numFmtId="3" formatCode="#,##0"/>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6"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64" formatCode="_(* #,##0_);_(* \(#,##0\);_(* &quot;-&quot;??_);_(@_)"/>
    </dxf>
    <dxf>
      <numFmt numFmtId="3" formatCode="#,##0"/>
    </dxf>
    <dxf>
      <numFmt numFmtId="3" formatCode="#,##0"/>
    </dxf>
    <dxf>
      <font>
        <b/>
        <i val="0"/>
        <color rgb="FFF8F5EE"/>
        <name val="Calibri"/>
        <family val="2"/>
        <scheme val="minor"/>
      </font>
      <fill>
        <patternFill>
          <bgColor rgb="FF05353F"/>
        </patternFill>
      </fill>
      <border>
        <bottom style="thin">
          <color theme="6"/>
        </bottom>
        <vertical/>
        <horizontal/>
      </border>
    </dxf>
    <dxf>
      <font>
        <color theme="1"/>
      </font>
      <fill>
        <patternFill>
          <bgColor rgb="FF05353F"/>
        </patternFill>
      </fill>
      <border diagonalUp="0" diagonalDown="0">
        <left/>
        <right/>
        <top/>
        <bottom/>
        <vertical/>
        <horizontal/>
      </border>
    </dxf>
    <dxf>
      <font>
        <b/>
        <i val="0"/>
        <color rgb="FFF8F5EE"/>
        <name val="Calibri"/>
        <family val="2"/>
        <scheme val="minor"/>
      </font>
      <fill>
        <patternFill>
          <bgColor rgb="FF05353F"/>
        </patternFill>
      </fill>
      <border>
        <bottom style="thin">
          <color theme="6"/>
        </bottom>
        <vertical/>
        <horizontal/>
      </border>
    </dxf>
    <dxf>
      <font>
        <color theme="1"/>
      </font>
      <fill>
        <patternFill>
          <bgColor rgb="FF05353F"/>
        </patternFill>
      </fill>
      <border>
        <left style="thin">
          <color rgb="FFF8F5EE"/>
        </left>
        <right style="thin">
          <color rgb="FFF8F5EE"/>
        </right>
        <top style="thin">
          <color rgb="FFF8F5EE"/>
        </top>
        <bottom style="thin">
          <color rgb="FFF8F5EE"/>
        </bottom>
        <vertical/>
        <horizontal/>
      </border>
    </dxf>
    <dxf>
      <font>
        <b/>
        <i val="0"/>
        <color theme="1"/>
      </font>
      <border>
        <bottom/>
      </border>
    </dxf>
  </dxfs>
  <tableStyles count="4" defaultTableStyle="TableStyleMedium2" defaultPivotStyle="PivotStyleLight16">
    <tableStyle name="Invisible" pivot="0" table="0" count="0" xr9:uid="{0299345E-06BB-43B9-98AC-FA0B37314CA5}"/>
    <tableStyle name="Slicer Style 1" pivot="0" table="0" count="4" xr9:uid="{3F35D6C0-D77A-4A0D-8CF3-547298D7C6A9}">
      <tableStyleElement type="headerRow" dxfId="56"/>
    </tableStyle>
    <tableStyle name="SlicerStyleLight3 2" pivot="0" table="0" count="10" xr9:uid="{97A818FD-0001-4652-B606-91B89952B334}">
      <tableStyleElement type="wholeTable" dxfId="55"/>
      <tableStyleElement type="headerRow" dxfId="54"/>
    </tableStyle>
    <tableStyle name="SlicerStyleLight3 2 2" pivot="0" table="0" count="10" xr9:uid="{ECC4B5B2-2243-4F8D-BB46-AB0972147DCB}">
      <tableStyleElement type="wholeTable" dxfId="53"/>
      <tableStyleElement type="headerRow" dxfId="52"/>
    </tableStyle>
  </tableStyles>
  <colors>
    <mruColors>
      <color rgb="FF05353F"/>
      <color rgb="FF968755"/>
      <color rgb="FFF8F5EE"/>
      <color rgb="FFFBF8F3"/>
      <color rgb="FF41594C"/>
      <color rgb="FF75A0A3"/>
      <color rgb="FF3C7880"/>
      <color rgb="FF2C697C"/>
      <color rgb="FFFFFFFF"/>
      <color rgb="FFF0F1F8"/>
    </mruColors>
  </colors>
  <extLst>
    <ext xmlns:x14="http://schemas.microsoft.com/office/spreadsheetml/2009/9/main" uri="{46F421CA-312F-682f-3DD2-61675219B42D}">
      <x14:dxfs count="19">
        <dxf>
          <font>
            <color rgb="FF000000"/>
          </font>
          <fill>
            <gradientFill degree="90">
              <stop position="0">
                <color theme="0"/>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0"/>
              </stop>
              <stop position="1">
                <color rgb="FFFBF8F3"/>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0"/>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0"/>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auto="1"/>
              <bgColor rgb="FF05353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theme="0"/>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0"/>
              </stop>
              <stop position="1">
                <color rgb="FFFBF8F3"/>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0"/>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0"/>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auto="1"/>
              <bgColor rgb="FF05353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color rgb="FF866B34"/>
          </font>
        </dxf>
        <dxf>
          <fill>
            <patternFill>
              <fgColor rgb="FF05353F"/>
            </patternFill>
          </fill>
        </dxf>
        <dxf>
          <font>
            <b/>
            <i val="0"/>
            <color rgb="FF05353F"/>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8"/>
            <x14:slicerStyleElement type="selectedItemWithNoData" dxfId="17"/>
            <x14:slicerStyleElement type="hoveredSelectedItemWithData" dxfId="16"/>
          </x14:slicerStyleElements>
        </x14:slicerStyle>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5.xml"/><Relationship Id="rId42" Type="http://schemas.openxmlformats.org/officeDocument/2006/relationships/pivotCacheDefinition" Target="pivotCache/pivotCacheDefinition28.xml"/><Relationship Id="rId47" Type="http://schemas.openxmlformats.org/officeDocument/2006/relationships/pivotCacheDefinition" Target="pivotCache/pivotCacheDefinition33.xml"/><Relationship Id="rId63" Type="http://schemas.openxmlformats.org/officeDocument/2006/relationships/pivotTable" Target="pivotTables/pivotTable13.xml"/><Relationship Id="rId68" Type="http://schemas.openxmlformats.org/officeDocument/2006/relationships/pivotTable" Target="pivotTables/pivotTable18.xml"/><Relationship Id="rId84" Type="http://schemas.openxmlformats.org/officeDocument/2006/relationships/customXml" Target="../customXml/item9.xml"/><Relationship Id="rId89" Type="http://schemas.openxmlformats.org/officeDocument/2006/relationships/customXml" Target="../customXml/item14.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microsoft.com/office/2007/relationships/slicerCache" Target="slicerCaches/slicerCache8.xml"/><Relationship Id="rId37" Type="http://schemas.openxmlformats.org/officeDocument/2006/relationships/pivotCacheDefinition" Target="pivotCache/pivotCacheDefinition23.xml"/><Relationship Id="rId53" Type="http://schemas.openxmlformats.org/officeDocument/2006/relationships/pivotTable" Target="pivotTables/pivotTable3.xml"/><Relationship Id="rId58" Type="http://schemas.openxmlformats.org/officeDocument/2006/relationships/pivotTable" Target="pivotTables/pivotTable8.xml"/><Relationship Id="rId74" Type="http://schemas.openxmlformats.org/officeDocument/2006/relationships/powerPivotData" Target="model/item.data"/><Relationship Id="rId79" Type="http://schemas.openxmlformats.org/officeDocument/2006/relationships/customXml" Target="../customXml/item4.xml"/><Relationship Id="rId5" Type="http://schemas.openxmlformats.org/officeDocument/2006/relationships/worksheet" Target="worksheets/sheet5.xml"/><Relationship Id="rId90" Type="http://schemas.openxmlformats.org/officeDocument/2006/relationships/customXml" Target="../customXml/item15.xml"/><Relationship Id="rId22" Type="http://schemas.openxmlformats.org/officeDocument/2006/relationships/pivotCacheDefinition" Target="pivotCache/pivotCacheDefinition16.xml"/><Relationship Id="rId27" Type="http://schemas.microsoft.com/office/2007/relationships/slicerCache" Target="slicerCaches/slicerCache3.xml"/><Relationship Id="rId43" Type="http://schemas.openxmlformats.org/officeDocument/2006/relationships/pivotCacheDefinition" Target="pivotCache/pivotCacheDefinition29.xml"/><Relationship Id="rId48" Type="http://schemas.openxmlformats.org/officeDocument/2006/relationships/pivotCacheDefinition" Target="pivotCache/pivotCacheDefinition34.xml"/><Relationship Id="rId64" Type="http://schemas.openxmlformats.org/officeDocument/2006/relationships/pivotTable" Target="pivotTables/pivotTable14.xml"/><Relationship Id="rId69" Type="http://schemas.openxmlformats.org/officeDocument/2006/relationships/theme" Target="theme/theme1.xml"/><Relationship Id="rId8" Type="http://schemas.openxmlformats.org/officeDocument/2006/relationships/pivotCacheDefinition" Target="pivotCache/pivotCacheDefinition2.xml"/><Relationship Id="rId51" Type="http://schemas.openxmlformats.org/officeDocument/2006/relationships/pivotTable" Target="pivotTables/pivotTable1.xml"/><Relationship Id="rId72" Type="http://schemas.openxmlformats.org/officeDocument/2006/relationships/sharedStrings" Target="sharedStrings.xml"/><Relationship Id="rId80" Type="http://schemas.openxmlformats.org/officeDocument/2006/relationships/customXml" Target="../customXml/item5.xml"/><Relationship Id="rId85" Type="http://schemas.openxmlformats.org/officeDocument/2006/relationships/customXml" Target="../customXml/item10.xml"/><Relationship Id="rId93"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1.xml"/><Relationship Id="rId33" Type="http://schemas.openxmlformats.org/officeDocument/2006/relationships/pivotCacheDefinition" Target="pivotCache/pivotCacheDefinition19.xml"/><Relationship Id="rId38" Type="http://schemas.openxmlformats.org/officeDocument/2006/relationships/pivotCacheDefinition" Target="pivotCache/pivotCacheDefinition24.xml"/><Relationship Id="rId46" Type="http://schemas.openxmlformats.org/officeDocument/2006/relationships/pivotCacheDefinition" Target="pivotCache/pivotCacheDefinition32.xml"/><Relationship Id="rId59" Type="http://schemas.openxmlformats.org/officeDocument/2006/relationships/pivotTable" Target="pivotTables/pivotTable9.xml"/><Relationship Id="rId67" Type="http://schemas.openxmlformats.org/officeDocument/2006/relationships/pivotTable" Target="pivotTables/pivotTable17.xml"/><Relationship Id="rId20" Type="http://schemas.openxmlformats.org/officeDocument/2006/relationships/pivotCacheDefinition" Target="pivotCache/pivotCacheDefinition14.xml"/><Relationship Id="rId41" Type="http://schemas.openxmlformats.org/officeDocument/2006/relationships/pivotCacheDefinition" Target="pivotCache/pivotCacheDefinition27.xml"/><Relationship Id="rId54" Type="http://schemas.openxmlformats.org/officeDocument/2006/relationships/pivotTable" Target="pivotTables/pivotTable4.xml"/><Relationship Id="rId62" Type="http://schemas.openxmlformats.org/officeDocument/2006/relationships/pivotTable" Target="pivotTables/pivotTable12.xml"/><Relationship Id="rId70" Type="http://schemas.openxmlformats.org/officeDocument/2006/relationships/connections" Target="connections.xml"/><Relationship Id="rId75" Type="http://schemas.openxmlformats.org/officeDocument/2006/relationships/calcChain" Target="calcChain.xml"/><Relationship Id="rId83" Type="http://schemas.openxmlformats.org/officeDocument/2006/relationships/customXml" Target="../customXml/item8.xml"/><Relationship Id="rId88" Type="http://schemas.openxmlformats.org/officeDocument/2006/relationships/customXml" Target="../customXml/item13.xml"/><Relationship Id="rId9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4.xml"/><Relationship Id="rId36" Type="http://schemas.openxmlformats.org/officeDocument/2006/relationships/pivotCacheDefinition" Target="pivotCache/pivotCacheDefinition22.xml"/><Relationship Id="rId49" Type="http://schemas.openxmlformats.org/officeDocument/2006/relationships/pivotCacheDefinition" Target="pivotCache/pivotCacheDefinition35.xml"/><Relationship Id="rId57" Type="http://schemas.openxmlformats.org/officeDocument/2006/relationships/pivotTable" Target="pivotTables/pivotTable7.xml"/><Relationship Id="rId10" Type="http://schemas.openxmlformats.org/officeDocument/2006/relationships/pivotCacheDefinition" Target="pivotCache/pivotCacheDefinition4.xml"/><Relationship Id="rId31" Type="http://schemas.microsoft.com/office/2007/relationships/slicerCache" Target="slicerCaches/slicerCache7.xml"/><Relationship Id="rId44" Type="http://schemas.openxmlformats.org/officeDocument/2006/relationships/pivotCacheDefinition" Target="pivotCache/pivotCacheDefinition30.xml"/><Relationship Id="rId52" Type="http://schemas.openxmlformats.org/officeDocument/2006/relationships/pivotTable" Target="pivotTables/pivotTable2.xml"/><Relationship Id="rId60" Type="http://schemas.openxmlformats.org/officeDocument/2006/relationships/pivotTable" Target="pivotTables/pivotTable10.xml"/><Relationship Id="rId65" Type="http://schemas.openxmlformats.org/officeDocument/2006/relationships/pivotTable" Target="pivotTables/pivotTable15.xml"/><Relationship Id="rId73" Type="http://schemas.openxmlformats.org/officeDocument/2006/relationships/sheetMetadata" Target="metadata.xml"/><Relationship Id="rId78" Type="http://schemas.openxmlformats.org/officeDocument/2006/relationships/customXml" Target="../customXml/item3.xml"/><Relationship Id="rId81" Type="http://schemas.openxmlformats.org/officeDocument/2006/relationships/customXml" Target="../customXml/item6.xml"/><Relationship Id="rId86"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CacheDefinition" Target="pivotCache/pivotCacheDefinition25.xml"/><Relationship Id="rId34" Type="http://schemas.openxmlformats.org/officeDocument/2006/relationships/pivotCacheDefinition" Target="pivotCache/pivotCacheDefinition20.xml"/><Relationship Id="rId50" Type="http://schemas.openxmlformats.org/officeDocument/2006/relationships/pivotCacheDefinition" Target="pivotCache/pivotCacheDefinition36.xml"/><Relationship Id="rId55" Type="http://schemas.openxmlformats.org/officeDocument/2006/relationships/pivotTable" Target="pivotTables/pivotTable5.xml"/><Relationship Id="rId76" Type="http://schemas.openxmlformats.org/officeDocument/2006/relationships/customXml" Target="../customXml/item1.xml"/><Relationship Id="rId7" Type="http://schemas.openxmlformats.org/officeDocument/2006/relationships/pivotCacheDefinition" Target="pivotCache/pivotCacheDefinition1.xml"/><Relationship Id="rId71" Type="http://schemas.openxmlformats.org/officeDocument/2006/relationships/styles" Target="styles.xml"/><Relationship Id="rId92" Type="http://schemas.openxmlformats.org/officeDocument/2006/relationships/customXml" Target="../customXml/item17.xml"/><Relationship Id="rId2" Type="http://schemas.openxmlformats.org/officeDocument/2006/relationships/worksheet" Target="worksheets/sheet2.xml"/><Relationship Id="rId29" Type="http://schemas.microsoft.com/office/2007/relationships/slicerCache" Target="slicerCaches/slicerCache5.xml"/><Relationship Id="rId24" Type="http://schemas.openxmlformats.org/officeDocument/2006/relationships/pivotCacheDefinition" Target="pivotCache/pivotCacheDefinition18.xml"/><Relationship Id="rId40" Type="http://schemas.openxmlformats.org/officeDocument/2006/relationships/pivotCacheDefinition" Target="pivotCache/pivotCacheDefinition26.xml"/><Relationship Id="rId45" Type="http://schemas.openxmlformats.org/officeDocument/2006/relationships/pivotCacheDefinition" Target="pivotCache/pivotCacheDefinition31.xml"/><Relationship Id="rId66" Type="http://schemas.openxmlformats.org/officeDocument/2006/relationships/pivotTable" Target="pivotTables/pivotTable16.xml"/><Relationship Id="rId87" Type="http://schemas.openxmlformats.org/officeDocument/2006/relationships/customXml" Target="../customXml/item12.xml"/><Relationship Id="rId61" Type="http://schemas.openxmlformats.org/officeDocument/2006/relationships/pivotTable" Target="pivotTables/pivotTable11.xml"/><Relationship Id="rId82" Type="http://schemas.openxmlformats.org/officeDocument/2006/relationships/customXml" Target="../customXml/item7.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microsoft.com/office/2007/relationships/slicerCache" Target="slicerCaches/slicerCache6.xml"/><Relationship Id="rId35" Type="http://schemas.openxmlformats.org/officeDocument/2006/relationships/pivotCacheDefinition" Target="pivotCache/pivotCacheDefinition21.xml"/><Relationship Id="rId56" Type="http://schemas.openxmlformats.org/officeDocument/2006/relationships/pivotTable" Target="pivotTables/pivotTable6.xml"/><Relationship Id="rId7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Percentage Employee by Salary</a:t>
            </a:r>
            <a:r>
              <a:rPr lang="en-US" b="1" baseline="0">
                <a:solidFill>
                  <a:schemeClr val="tx1"/>
                </a:solidFill>
              </a:rPr>
              <a:t> Classification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a:gsLst>
              <a:gs pos="0">
                <a:srgbClr val="4472C4">
                  <a:lumMod val="40000"/>
                  <a:lumOff val="60000"/>
                </a:srgbClr>
              </a:gs>
              <a:gs pos="74000">
                <a:srgbClr val="05353F"/>
              </a:gs>
              <a:gs pos="83000">
                <a:srgbClr val="05353F"/>
              </a:gs>
              <a:gs pos="100000">
                <a:srgbClr val="05353F"/>
              </a:gs>
            </a:gsLst>
            <a:lin ang="2700000" scaled="1"/>
          </a:gradFill>
          <a:ln>
            <a:noFill/>
          </a:ln>
          <a:effectLst/>
        </c:spPr>
      </c:pivotFmt>
      <c:pivotFmt>
        <c:idx val="19"/>
        <c:spPr>
          <a:gradFill>
            <a:gsLst>
              <a:gs pos="0">
                <a:srgbClr val="FFC000">
                  <a:lumMod val="40000"/>
                  <a:lumOff val="60000"/>
                </a:srgbClr>
              </a:gs>
              <a:gs pos="74000">
                <a:srgbClr val="866B34"/>
              </a:gs>
              <a:gs pos="83000">
                <a:srgbClr val="866B34"/>
              </a:gs>
              <a:gs pos="100000">
                <a:srgbClr val="866B34"/>
              </a:gs>
            </a:gsLst>
            <a:lin ang="2700000" scaled="1"/>
          </a:gradFill>
          <a:ln>
            <a:noFill/>
          </a:ln>
          <a:effectLst/>
        </c:spPr>
        <c:dLbl>
          <c:idx val="0"/>
          <c:layout>
            <c:manualLayout>
              <c:x val="6.3573408588858779E-2"/>
              <c:y val="0"/>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a:gsLst>
              <a:gs pos="1000">
                <a:srgbClr val="E7E6E6">
                  <a:lumMod val="90000"/>
                </a:srgbClr>
              </a:gs>
              <a:gs pos="74000">
                <a:srgbClr val="E7E6E6">
                  <a:lumMod val="50000"/>
                </a:srgbClr>
              </a:gs>
              <a:gs pos="83000">
                <a:srgbClr val="E7E6E6">
                  <a:lumMod val="50000"/>
                </a:srgbClr>
              </a:gs>
              <a:gs pos="100000">
                <a:srgbClr val="E7E6E6">
                  <a:lumMod val="50000"/>
                </a:srgbClr>
              </a:gs>
            </a:gsLst>
            <a:lin ang="2700000" scaled="1"/>
          </a:gradFill>
          <a:ln>
            <a:noFill/>
          </a:ln>
          <a:effectLst/>
        </c:spPr>
      </c:pivotFmt>
    </c:pivotFmts>
    <c:plotArea>
      <c:layout/>
      <c:pieChart>
        <c:varyColors val="1"/>
        <c:ser>
          <c:idx val="0"/>
          <c:order val="0"/>
          <c:tx>
            <c:v>Total</c:v>
          </c:tx>
          <c:explosion val="6"/>
          <c:dPt>
            <c:idx val="0"/>
            <c:bubble3D val="0"/>
            <c:spPr>
              <a:gradFill>
                <a:gsLst>
                  <a:gs pos="0">
                    <a:srgbClr val="4472C4">
                      <a:lumMod val="40000"/>
                      <a:lumOff val="60000"/>
                    </a:srgbClr>
                  </a:gs>
                  <a:gs pos="74000">
                    <a:srgbClr val="05353F"/>
                  </a:gs>
                  <a:gs pos="83000">
                    <a:srgbClr val="05353F"/>
                  </a:gs>
                  <a:gs pos="100000">
                    <a:srgbClr val="05353F"/>
                  </a:gs>
                </a:gsLst>
                <a:lin ang="2700000" scaled="1"/>
              </a:gradFill>
              <a:ln>
                <a:noFill/>
              </a:ln>
              <a:effectLst/>
            </c:spPr>
            <c:extLst>
              <c:ext xmlns:c16="http://schemas.microsoft.com/office/drawing/2014/chart" uri="{C3380CC4-5D6E-409C-BE32-E72D297353CC}">
                <c16:uniqueId val="{00000001-62A2-4DCE-A063-8008633BA16E}"/>
              </c:ext>
            </c:extLst>
          </c:dPt>
          <c:dPt>
            <c:idx val="1"/>
            <c:bubble3D val="0"/>
            <c:spPr>
              <a:gradFill>
                <a:gsLst>
                  <a:gs pos="0">
                    <a:srgbClr val="FFC000">
                      <a:lumMod val="40000"/>
                      <a:lumOff val="60000"/>
                    </a:srgbClr>
                  </a:gs>
                  <a:gs pos="74000">
                    <a:srgbClr val="866B34"/>
                  </a:gs>
                  <a:gs pos="83000">
                    <a:srgbClr val="866B34"/>
                  </a:gs>
                  <a:gs pos="100000">
                    <a:srgbClr val="866B34"/>
                  </a:gs>
                </a:gsLst>
                <a:lin ang="2700000" scaled="1"/>
              </a:gradFill>
              <a:ln>
                <a:noFill/>
              </a:ln>
              <a:effectLst/>
            </c:spPr>
            <c:extLst>
              <c:ext xmlns:c16="http://schemas.microsoft.com/office/drawing/2014/chart" uri="{C3380CC4-5D6E-409C-BE32-E72D297353CC}">
                <c16:uniqueId val="{00000003-62A2-4DCE-A063-8008633BA16E}"/>
              </c:ext>
            </c:extLst>
          </c:dPt>
          <c:dPt>
            <c:idx val="2"/>
            <c:bubble3D val="0"/>
            <c:spPr>
              <a:gradFill>
                <a:gsLst>
                  <a:gs pos="1000">
                    <a:srgbClr val="E7E6E6">
                      <a:lumMod val="90000"/>
                    </a:srgbClr>
                  </a:gs>
                  <a:gs pos="74000">
                    <a:srgbClr val="E7E6E6">
                      <a:lumMod val="50000"/>
                    </a:srgbClr>
                  </a:gs>
                  <a:gs pos="83000">
                    <a:srgbClr val="E7E6E6">
                      <a:lumMod val="50000"/>
                    </a:srgbClr>
                  </a:gs>
                  <a:gs pos="100000">
                    <a:srgbClr val="E7E6E6">
                      <a:lumMod val="50000"/>
                    </a:srgbClr>
                  </a:gs>
                </a:gsLst>
                <a:lin ang="2700000" scaled="1"/>
              </a:gradFill>
              <a:ln>
                <a:noFill/>
              </a:ln>
              <a:effectLst/>
            </c:spPr>
            <c:extLst>
              <c:ext xmlns:c16="http://schemas.microsoft.com/office/drawing/2014/chart" uri="{C3380CC4-5D6E-409C-BE32-E72D297353CC}">
                <c16:uniqueId val="{00000005-62A2-4DCE-A063-8008633BA16E}"/>
              </c:ext>
            </c:extLst>
          </c:dPt>
          <c:dLbls>
            <c:dLbl>
              <c:idx val="1"/>
              <c:layout>
                <c:manualLayout>
                  <c:x val="6.3573408588858779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2A2-4DCE-A063-8008633BA16E}"/>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High</c:v>
              </c:pt>
              <c:pt idx="1">
                <c:v>Low</c:v>
              </c:pt>
              <c:pt idx="2">
                <c:v>Medium</c:v>
              </c:pt>
            </c:strLit>
          </c:cat>
          <c:val>
            <c:numLit>
              <c:formatCode>0</c:formatCode>
              <c:ptCount val="3"/>
              <c:pt idx="0">
                <c:v>224</c:v>
              </c:pt>
              <c:pt idx="1">
                <c:v>194</c:v>
              </c:pt>
              <c:pt idx="2">
                <c:v>271</c:v>
              </c:pt>
            </c:numLit>
          </c:val>
          <c:extLst>
            <c:ext xmlns:c16="http://schemas.microsoft.com/office/drawing/2014/chart" uri="{C3380CC4-5D6E-409C-BE32-E72D297353CC}">
              <c16:uniqueId val="{00000006-62A2-4DCE-A063-8008633BA16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[Employees_Cleaning.xlsx]PivotChartTable13</c15:name>
        <c15:fmtId val="13"/>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[Employees_Cleaning.xlsx]Pivot Tables &amp; Charts!PivotTable16</c:name>
    <c:fmtId val="4"/>
  </c:pivotSource>
  <c:chart>
    <c:title>
      <c:tx>
        <c:rich>
          <a:bodyPr rot="0" spcFirstLastPara="1" vertOverflow="ellipsis" vert="horz" wrap="square" anchor="ctr" anchorCtr="1"/>
          <a:lstStyle/>
          <a:p>
            <a:pPr>
              <a:defRPr sz="1400" b="0" i="0" u="none" strike="noStrike" kern="1200" spc="0" baseline="0">
                <a:solidFill>
                  <a:schemeClr val="tx1">
                    <a:alpha val="99000"/>
                  </a:schemeClr>
                </a:solidFill>
                <a:latin typeface="+mn-lt"/>
                <a:ea typeface="+mn-ea"/>
                <a:cs typeface="+mn-cs"/>
              </a:defRPr>
            </a:pPr>
            <a:r>
              <a:rPr lang="en-US" b="1"/>
              <a:t> Percentage Employee by Job Rate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alpha val="99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alpha val="99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alpha val="99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alpha val="99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0">
                <a:srgbClr val="4472C4">
                  <a:lumMod val="40000"/>
                  <a:lumOff val="60000"/>
                </a:srgbClr>
              </a:gs>
              <a:gs pos="74000">
                <a:srgbClr val="05353F"/>
              </a:gs>
              <a:gs pos="83000">
                <a:srgbClr val="05353F"/>
              </a:gs>
              <a:gs pos="100000">
                <a:srgbClr val="05353F"/>
              </a:gs>
            </a:gsLst>
            <a:lin ang="2700000" scaled="1"/>
          </a:gradFill>
          <a:ln w="19050">
            <a:solidFill>
              <a:schemeClr val="lt1"/>
            </a:solidFill>
          </a:ln>
          <a:effectLst/>
        </c:spPr>
      </c:pivotFmt>
      <c:pivotFmt>
        <c:idx val="10"/>
        <c:spPr>
          <a:gradFill>
            <a:gsLst>
              <a:gs pos="0">
                <a:srgbClr val="FFC000">
                  <a:lumMod val="40000"/>
                  <a:lumOff val="60000"/>
                </a:srgbClr>
              </a:gs>
              <a:gs pos="74000">
                <a:srgbClr val="866B34"/>
              </a:gs>
              <a:gs pos="83000">
                <a:srgbClr val="866B34"/>
              </a:gs>
              <a:gs pos="100000">
                <a:srgbClr val="866B34"/>
              </a:gs>
            </a:gsLst>
            <a:lin ang="2700000" scaled="1"/>
          </a:gradFill>
          <a:ln w="19050">
            <a:solidFill>
              <a:schemeClr val="lt1"/>
            </a:solidFill>
          </a:ln>
          <a:effectLst/>
        </c:spPr>
      </c:pivotFmt>
      <c:pivotFmt>
        <c:idx val="11"/>
        <c:spPr>
          <a:gradFill>
            <a:gsLst>
              <a:gs pos="1000">
                <a:srgbClr val="E7E6E6">
                  <a:lumMod val="90000"/>
                </a:srgbClr>
              </a:gs>
              <a:gs pos="74000">
                <a:srgbClr val="E7E6E6">
                  <a:lumMod val="50000"/>
                </a:srgbClr>
              </a:gs>
              <a:gs pos="83000">
                <a:srgbClr val="E7E6E6">
                  <a:lumMod val="50000"/>
                </a:srgbClr>
              </a:gs>
              <a:gs pos="100000">
                <a:srgbClr val="E7E6E6">
                  <a:lumMod val="50000"/>
                </a:srgbClr>
              </a:gs>
            </a:gsLst>
            <a:lin ang="2700000" scaled="1"/>
          </a:gradFill>
          <a:ln w="19050">
            <a:solidFill>
              <a:schemeClr val="lt1"/>
            </a:solidFill>
          </a:ln>
          <a:effectLst/>
        </c:spPr>
      </c:pivotFmt>
    </c:pivotFmts>
    <c:plotArea>
      <c:layout/>
      <c:pieChart>
        <c:varyColors val="1"/>
        <c:ser>
          <c:idx val="0"/>
          <c:order val="0"/>
          <c:tx>
            <c:strRef>
              <c:f>'Pivot Tables &amp; Charts'!$B$141</c:f>
              <c:strCache>
                <c:ptCount val="1"/>
                <c:pt idx="0">
                  <c:v>Total</c:v>
                </c:pt>
              </c:strCache>
            </c:strRef>
          </c:tx>
          <c:dPt>
            <c:idx val="0"/>
            <c:bubble3D val="0"/>
            <c:spPr>
              <a:gradFill>
                <a:gsLst>
                  <a:gs pos="0">
                    <a:srgbClr val="4472C4">
                      <a:lumMod val="40000"/>
                      <a:lumOff val="60000"/>
                    </a:srgbClr>
                  </a:gs>
                  <a:gs pos="74000">
                    <a:srgbClr val="05353F"/>
                  </a:gs>
                  <a:gs pos="83000">
                    <a:srgbClr val="05353F"/>
                  </a:gs>
                  <a:gs pos="100000">
                    <a:srgbClr val="05353F"/>
                  </a:gs>
                </a:gsLst>
                <a:lin ang="2700000" scaled="1"/>
              </a:gradFill>
              <a:ln w="19050">
                <a:solidFill>
                  <a:schemeClr val="lt1"/>
                </a:solidFill>
              </a:ln>
              <a:effectLst/>
            </c:spPr>
            <c:extLst>
              <c:ext xmlns:c16="http://schemas.microsoft.com/office/drawing/2014/chart" uri="{C3380CC4-5D6E-409C-BE32-E72D297353CC}">
                <c16:uniqueId val="{00000001-BCE0-443B-A451-3345DA4E61A8}"/>
              </c:ext>
            </c:extLst>
          </c:dPt>
          <c:dPt>
            <c:idx val="1"/>
            <c:bubble3D val="0"/>
            <c:spPr>
              <a:gradFill>
                <a:gsLst>
                  <a:gs pos="0">
                    <a:srgbClr val="FFC000">
                      <a:lumMod val="40000"/>
                      <a:lumOff val="60000"/>
                    </a:srgbClr>
                  </a:gs>
                  <a:gs pos="74000">
                    <a:srgbClr val="866B34"/>
                  </a:gs>
                  <a:gs pos="83000">
                    <a:srgbClr val="866B34"/>
                  </a:gs>
                  <a:gs pos="100000">
                    <a:srgbClr val="866B34"/>
                  </a:gs>
                </a:gsLst>
                <a:lin ang="2700000" scaled="1"/>
              </a:gradFill>
              <a:ln w="19050">
                <a:solidFill>
                  <a:schemeClr val="lt1"/>
                </a:solidFill>
              </a:ln>
              <a:effectLst/>
            </c:spPr>
            <c:extLst>
              <c:ext xmlns:c16="http://schemas.microsoft.com/office/drawing/2014/chart" uri="{C3380CC4-5D6E-409C-BE32-E72D297353CC}">
                <c16:uniqueId val="{00000003-BCE0-443B-A451-3345DA4E61A8}"/>
              </c:ext>
            </c:extLst>
          </c:dPt>
          <c:dPt>
            <c:idx val="2"/>
            <c:bubble3D val="0"/>
            <c:spPr>
              <a:gradFill>
                <a:gsLst>
                  <a:gs pos="1000">
                    <a:srgbClr val="E7E6E6">
                      <a:lumMod val="90000"/>
                    </a:srgbClr>
                  </a:gs>
                  <a:gs pos="74000">
                    <a:srgbClr val="E7E6E6">
                      <a:lumMod val="50000"/>
                    </a:srgbClr>
                  </a:gs>
                  <a:gs pos="83000">
                    <a:srgbClr val="E7E6E6">
                      <a:lumMod val="50000"/>
                    </a:srgbClr>
                  </a:gs>
                  <a:gs pos="100000">
                    <a:srgbClr val="E7E6E6">
                      <a:lumMod val="50000"/>
                    </a:srgbClr>
                  </a:gs>
                </a:gsLst>
                <a:lin ang="2700000" scaled="1"/>
              </a:gradFill>
              <a:ln w="19050">
                <a:solidFill>
                  <a:schemeClr val="lt1"/>
                </a:solidFill>
              </a:ln>
              <a:effectLst/>
            </c:spPr>
            <c:extLst>
              <c:ext xmlns:c16="http://schemas.microsoft.com/office/drawing/2014/chart" uri="{C3380CC4-5D6E-409C-BE32-E72D297353CC}">
                <c16:uniqueId val="{00000005-BCE0-443B-A451-3345DA4E61A8}"/>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alpha val="99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&amp; Charts'!$A$142:$A$145</c:f>
              <c:strCache>
                <c:ptCount val="3"/>
                <c:pt idx="0">
                  <c:v>High</c:v>
                </c:pt>
                <c:pt idx="1">
                  <c:v>Medium</c:v>
                </c:pt>
                <c:pt idx="2">
                  <c:v>Low</c:v>
                </c:pt>
              </c:strCache>
            </c:strRef>
          </c:cat>
          <c:val>
            <c:numRef>
              <c:f>'Pivot Tables &amp; Charts'!$B$142:$B$145</c:f>
              <c:numCache>
                <c:formatCode>0</c:formatCode>
                <c:ptCount val="3"/>
                <c:pt idx="0">
                  <c:v>339</c:v>
                </c:pt>
                <c:pt idx="1">
                  <c:v>208</c:v>
                </c:pt>
                <c:pt idx="2">
                  <c:v>142</c:v>
                </c:pt>
              </c:numCache>
            </c:numRef>
          </c:val>
          <c:extLst>
            <c:ext xmlns:c16="http://schemas.microsoft.com/office/drawing/2014/chart" uri="{C3380CC4-5D6E-409C-BE32-E72D297353CC}">
              <c16:uniqueId val="{00000006-BCE0-443B-A451-3345DA4E61A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alpha val="9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Employee by Overtime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535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Overtime</c:v>
              </c:pt>
              <c:pt idx="1">
                <c:v>No Overtime</c:v>
              </c:pt>
              <c:pt idx="2">
                <c:v>Normal</c:v>
              </c:pt>
            </c:strLit>
          </c:cat>
          <c:val>
            <c:numLit>
              <c:formatCode>0</c:formatCode>
              <c:ptCount val="3"/>
              <c:pt idx="0">
                <c:v>128</c:v>
              </c:pt>
              <c:pt idx="1">
                <c:v>51</c:v>
              </c:pt>
              <c:pt idx="2">
                <c:v>510</c:v>
              </c:pt>
            </c:numLit>
          </c:val>
          <c:extLst>
            <c:ext xmlns:c16="http://schemas.microsoft.com/office/drawing/2014/chart" uri="{C3380CC4-5D6E-409C-BE32-E72D297353CC}">
              <c16:uniqueId val="{00000000-0862-4673-81A4-58CEB0B6D131}"/>
            </c:ext>
          </c:extLst>
        </c:ser>
        <c:dLbls>
          <c:dLblPos val="outEnd"/>
          <c:showLegendKey val="0"/>
          <c:showVal val="1"/>
          <c:showCatName val="0"/>
          <c:showSerName val="0"/>
          <c:showPercent val="0"/>
          <c:showBubbleSize val="0"/>
        </c:dLbls>
        <c:gapWidth val="219"/>
        <c:overlap val="-27"/>
        <c:axId val="84944000"/>
        <c:axId val="84947840"/>
      </c:barChart>
      <c:catAx>
        <c:axId val="849440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7840"/>
        <c:crosses val="autoZero"/>
        <c:auto val="1"/>
        <c:lblAlgn val="ctr"/>
        <c:lblOffset val="100"/>
        <c:noMultiLvlLbl val="0"/>
        <c:extLst>
          <c:ext xmlns:c15="http://schemas.microsoft.com/office/drawing/2012/chart" uri="{F40574EE-89B7-4290-83BB-5DA773EAF853}">
            <c15:numFmt c:formatCode="General" c:sourceLinked="1"/>
          </c:ext>
        </c:extLst>
      </c:catAx>
      <c:valAx>
        <c:axId val="84947840"/>
        <c:scaling>
          <c:orientation val="minMax"/>
        </c:scaling>
        <c:delete val="1"/>
        <c:axPos val="l"/>
        <c:numFmt formatCode="0" sourceLinked="0"/>
        <c:majorTickMark val="none"/>
        <c:minorTickMark val="none"/>
        <c:tickLblPos val="nextTo"/>
        <c:crossAx val="84944000"/>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[Employees_Cleaning.xlsx]PivotChartTable16</c15:name>
        <c15:fmtId val="3"/>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Avg Monthly Salary &amp; Avg</a:t>
            </a:r>
            <a:r>
              <a:rPr lang="en-US" b="1" baseline="0">
                <a:solidFill>
                  <a:schemeClr val="tx1"/>
                </a:solidFill>
              </a:rPr>
              <a:t> Job Rate by Experience Groups</a:t>
            </a:r>
            <a:endParaRPr lang="en-US" b="1">
              <a:solidFill>
                <a:schemeClr val="tx1"/>
              </a:solidFill>
            </a:endParaRPr>
          </a:p>
        </c:rich>
      </c:tx>
      <c:layout>
        <c:manualLayout>
          <c:xMode val="edge"/>
          <c:yMode val="edge"/>
          <c:x val="0.1351280440112915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5.1190469525883547E-2"/>
              <c:y val="-8.8603620888129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5.6878299473204046E-2"/>
              <c:y val="-6.1340968307166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5502639578563153E-2"/>
              <c:y val="-6.1340968307166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5502639578563153E-2"/>
              <c:y val="-6.1340968307166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1190469525883547E-2"/>
              <c:y val="-8.8603620888129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6878299473204046E-2"/>
              <c:y val="-6.1340968307166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968755"/>
            </a:solidFill>
            <a:round/>
          </a:ln>
          <a:effectLst/>
        </c:spPr>
        <c:marker>
          <c:symbol val="circle"/>
          <c:size val="5"/>
          <c:spPr>
            <a:solidFill>
              <a:srgbClr val="968755"/>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6875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968755"/>
            </a:solidFill>
            <a:round/>
          </a:ln>
          <a:effectLst/>
        </c:spPr>
        <c:marker>
          <c:symbol val="circle"/>
          <c:size val="5"/>
        </c:marker>
        <c:dLbl>
          <c:idx val="0"/>
          <c:layout>
            <c:manualLayout>
              <c:x val="-4.5502707784032113E-2"/>
              <c:y val="-9.1368041016523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6875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968755"/>
            </a:solidFill>
            <a:round/>
          </a:ln>
          <a:effectLst/>
        </c:spPr>
        <c:marker>
          <c:symbol val="circle"/>
          <c:size val="5"/>
        </c:marker>
        <c:dLbl>
          <c:idx val="0"/>
          <c:layout>
            <c:manualLayout>
              <c:x val="-5.1190469525883547E-2"/>
              <c:y val="-8.8603620888129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6875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968755"/>
            </a:solidFill>
            <a:round/>
          </a:ln>
          <a:effectLst/>
        </c:spPr>
        <c:marker>
          <c:symbol val="circle"/>
          <c:size val="5"/>
        </c:marker>
        <c:dLbl>
          <c:idx val="0"/>
          <c:layout>
            <c:manualLayout>
              <c:x val="-5.6878299473204046E-2"/>
              <c:y val="-6.1340968307166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6875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5353F"/>
          </a:solidFill>
          <a:ln>
            <a:noFill/>
          </a:ln>
          <a:effectLst/>
        </c:spPr>
        <c:dLbl>
          <c:idx val="0"/>
          <c:layout>
            <c:manualLayout>
              <c:x val="-1.187677244532492E-16"/>
              <c:y val="0.10832447691993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Monthly Salary</c:v>
          </c:tx>
          <c:spPr>
            <a:solidFill>
              <a:srgbClr val="05353F"/>
            </a:solidFill>
            <a:ln>
              <a:noFill/>
            </a:ln>
            <a:effectLst/>
          </c:spPr>
          <c:invertIfNegative val="0"/>
          <c:dPt>
            <c:idx val="2"/>
            <c:invertIfNegative val="0"/>
            <c:bubble3D val="0"/>
            <c:extLst>
              <c:ext xmlns:c16="http://schemas.microsoft.com/office/drawing/2014/chart" uri="{C3380CC4-5D6E-409C-BE32-E72D297353CC}">
                <c16:uniqueId val="{00000005-4B06-4A3D-ADEA-87CC807C6BF5}"/>
              </c:ext>
            </c:extLst>
          </c:dPt>
          <c:dLbls>
            <c:dLbl>
              <c:idx val="2"/>
              <c:layout>
                <c:manualLayout>
                  <c:x val="-1.187677244532492E-16"/>
                  <c:y val="0.1083244769199306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06-4A3D-ADEA-87CC807C6B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5-6 Years</c:v>
              </c:pt>
              <c:pt idx="1">
                <c:v>7-8 Years</c:v>
              </c:pt>
              <c:pt idx="2">
                <c:v>9-10 Years</c:v>
              </c:pt>
            </c:strLit>
          </c:cat>
          <c:val>
            <c:numLit>
              <c:formatCode>#,##0</c:formatCode>
              <c:ptCount val="3"/>
              <c:pt idx="0">
                <c:v>2102.1484375</c:v>
              </c:pt>
              <c:pt idx="1">
                <c:v>2059.6165644171779</c:v>
              </c:pt>
              <c:pt idx="2">
                <c:v>2013.1401869158879</c:v>
              </c:pt>
            </c:numLit>
          </c:val>
          <c:extLst>
            <c:ext xmlns:c16="http://schemas.microsoft.com/office/drawing/2014/chart" uri="{C3380CC4-5D6E-409C-BE32-E72D297353CC}">
              <c16:uniqueId val="{00000000-4B06-4A3D-ADEA-87CC807C6BF5}"/>
            </c:ext>
          </c:extLst>
        </c:ser>
        <c:dLbls>
          <c:showLegendKey val="0"/>
          <c:showVal val="1"/>
          <c:showCatName val="0"/>
          <c:showSerName val="0"/>
          <c:showPercent val="0"/>
          <c:showBubbleSize val="0"/>
        </c:dLbls>
        <c:gapWidth val="219"/>
        <c:axId val="625906032"/>
        <c:axId val="625904112"/>
      </c:barChart>
      <c:lineChart>
        <c:grouping val="standard"/>
        <c:varyColors val="0"/>
        <c:ser>
          <c:idx val="1"/>
          <c:order val="1"/>
          <c:tx>
            <c:v>Average Job Rate</c:v>
          </c:tx>
          <c:spPr>
            <a:ln w="28575" cap="rnd">
              <a:solidFill>
                <a:srgbClr val="968755"/>
              </a:solidFill>
              <a:round/>
            </a:ln>
            <a:effectLst/>
          </c:spPr>
          <c:marker>
            <c:symbol val="circle"/>
            <c:size val="5"/>
            <c:spPr>
              <a:solidFill>
                <a:srgbClr val="968755"/>
              </a:solidFill>
              <a:ln w="9525">
                <a:noFill/>
              </a:ln>
              <a:effectLst/>
            </c:spPr>
          </c:marker>
          <c:dPt>
            <c:idx val="0"/>
            <c:marker>
              <c:symbol val="circle"/>
              <c:size val="5"/>
              <c:spPr>
                <a:solidFill>
                  <a:srgbClr val="968755"/>
                </a:solidFill>
                <a:ln w="9525">
                  <a:noFill/>
                </a:ln>
                <a:effectLst/>
              </c:spPr>
            </c:marker>
            <c:bubble3D val="0"/>
            <c:extLst>
              <c:ext xmlns:c16="http://schemas.microsoft.com/office/drawing/2014/chart" uri="{C3380CC4-5D6E-409C-BE32-E72D297353CC}">
                <c16:uniqueId val="{00000001-4B06-4A3D-ADEA-87CC807C6BF5}"/>
              </c:ext>
            </c:extLst>
          </c:dPt>
          <c:dPt>
            <c:idx val="1"/>
            <c:marker>
              <c:symbol val="circle"/>
              <c:size val="5"/>
              <c:spPr>
                <a:solidFill>
                  <a:srgbClr val="968755"/>
                </a:solidFill>
                <a:ln w="9525">
                  <a:noFill/>
                </a:ln>
                <a:effectLst/>
              </c:spPr>
            </c:marker>
            <c:bubble3D val="0"/>
            <c:extLst>
              <c:ext xmlns:c16="http://schemas.microsoft.com/office/drawing/2014/chart" uri="{C3380CC4-5D6E-409C-BE32-E72D297353CC}">
                <c16:uniqueId val="{00000002-4B06-4A3D-ADEA-87CC807C6BF5}"/>
              </c:ext>
            </c:extLst>
          </c:dPt>
          <c:dPt>
            <c:idx val="2"/>
            <c:marker>
              <c:symbol val="circle"/>
              <c:size val="5"/>
              <c:spPr>
                <a:solidFill>
                  <a:srgbClr val="968755"/>
                </a:solidFill>
                <a:ln w="9525">
                  <a:noFill/>
                </a:ln>
                <a:effectLst/>
              </c:spPr>
            </c:marker>
            <c:bubble3D val="0"/>
            <c:extLst>
              <c:ext xmlns:c16="http://schemas.microsoft.com/office/drawing/2014/chart" uri="{C3380CC4-5D6E-409C-BE32-E72D297353CC}">
                <c16:uniqueId val="{00000003-4B06-4A3D-ADEA-87CC807C6BF5}"/>
              </c:ext>
            </c:extLst>
          </c:dPt>
          <c:dLbls>
            <c:dLbl>
              <c:idx val="0"/>
              <c:layout>
                <c:manualLayout>
                  <c:x val="-4.5502707784032113E-2"/>
                  <c:y val="-9.13680410165231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06-4A3D-ADEA-87CC807C6BF5}"/>
                </c:ext>
              </c:extLst>
            </c:dLbl>
            <c:dLbl>
              <c:idx val="1"/>
              <c:layout>
                <c:manualLayout>
                  <c:x val="-5.1190469525883547E-2"/>
                  <c:y val="-8.86036208881292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06-4A3D-ADEA-87CC807C6BF5}"/>
                </c:ext>
              </c:extLst>
            </c:dLbl>
            <c:dLbl>
              <c:idx val="2"/>
              <c:layout>
                <c:manualLayout>
                  <c:x val="-5.6878299473204046E-2"/>
                  <c:y val="-6.1340968307166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06-4A3D-ADEA-87CC807C6B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6875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5-6 Years</c:v>
              </c:pt>
              <c:pt idx="1">
                <c:v>7-8 Years</c:v>
              </c:pt>
              <c:pt idx="2">
                <c:v>9-10 Years</c:v>
              </c:pt>
            </c:strLit>
          </c:cat>
          <c:val>
            <c:numLit>
              <c:formatCode>0.00</c:formatCode>
              <c:ptCount val="3"/>
              <c:pt idx="0">
                <c:v>3.51171875</c:v>
              </c:pt>
              <c:pt idx="1">
                <c:v>3.5812883435582821</c:v>
              </c:pt>
              <c:pt idx="2">
                <c:v>3.7803738317757007</c:v>
              </c:pt>
            </c:numLit>
          </c:val>
          <c:smooth val="0"/>
          <c:extLst>
            <c:ext xmlns:c16="http://schemas.microsoft.com/office/drawing/2014/chart" uri="{C3380CC4-5D6E-409C-BE32-E72D297353CC}">
              <c16:uniqueId val="{00000004-4B06-4A3D-ADEA-87CC807C6BF5}"/>
            </c:ext>
          </c:extLst>
        </c:ser>
        <c:dLbls>
          <c:showLegendKey val="0"/>
          <c:showVal val="1"/>
          <c:showCatName val="0"/>
          <c:showSerName val="0"/>
          <c:showPercent val="0"/>
          <c:showBubbleSize val="0"/>
        </c:dLbls>
        <c:marker val="1"/>
        <c:smooth val="0"/>
        <c:axId val="625243824"/>
        <c:axId val="625242384"/>
      </c:lineChart>
      <c:catAx>
        <c:axId val="62590603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04112"/>
        <c:crosses val="autoZero"/>
        <c:auto val="1"/>
        <c:lblAlgn val="ctr"/>
        <c:lblOffset val="100"/>
        <c:noMultiLvlLbl val="0"/>
        <c:extLst>
          <c:ext xmlns:c15="http://schemas.microsoft.com/office/drawing/2012/chart" uri="{F40574EE-89B7-4290-83BB-5DA773EAF853}">
            <c15:numFmt c:formatCode="General" c:sourceLinked="1"/>
          </c:ext>
        </c:extLst>
      </c:catAx>
      <c:valAx>
        <c:axId val="62590411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06032"/>
        <c:crosses val="autoZero"/>
        <c:crossBetween val="between"/>
        <c:extLst>
          <c:ext xmlns:c15="http://schemas.microsoft.com/office/drawing/2012/chart" uri="{F40574EE-89B7-4290-83BB-5DA773EAF853}">
            <c15:numFmt c:formatCode="#,##0" c:sourceLinked="1"/>
          </c:ext>
        </c:extLst>
      </c:valAx>
      <c:valAx>
        <c:axId val="625242384"/>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43824"/>
        <c:crosses val="max"/>
        <c:crossBetween val="between"/>
        <c:extLst>
          <c:ext xmlns:c15="http://schemas.microsoft.com/office/drawing/2012/chart" uri="{F40574EE-89B7-4290-83BB-5DA773EAF853}">
            <c15:numFmt c:formatCode="0.00" c:sourceLinked="1"/>
          </c:ext>
        </c:extLst>
      </c:valAx>
      <c:catAx>
        <c:axId val="625243824"/>
        <c:scaling>
          <c:orientation val="minMax"/>
        </c:scaling>
        <c:delete val="1"/>
        <c:axPos val="b"/>
        <c:numFmt formatCode="General" sourceLinked="0"/>
        <c:majorTickMark val="out"/>
        <c:minorTickMark val="none"/>
        <c:tickLblPos val="nextTo"/>
        <c:crossAx val="625242384"/>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[Employees_Cleaning.xlsx]PivotChartTable18</c15:name>
        <c15:fmtId val="12"/>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Overtime</a:t>
            </a:r>
            <a:r>
              <a:rPr lang="en-US" b="1" baseline="0">
                <a:solidFill>
                  <a:schemeClr val="tx1"/>
                </a:solidFill>
              </a:rPr>
              <a:t> Hours</a:t>
            </a:r>
            <a:r>
              <a:rPr lang="en-US" b="1">
                <a:solidFill>
                  <a:schemeClr val="tx1"/>
                </a:solidFill>
              </a:rPr>
              <a:t> by Job</a:t>
            </a:r>
            <a:r>
              <a:rPr lang="en-US" b="1" baseline="0">
                <a:solidFill>
                  <a:schemeClr val="tx1"/>
                </a:solidFill>
              </a:rPr>
              <a:t> Rate Category</a:t>
            </a:r>
            <a:r>
              <a:rPr lang="en-US" b="1">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535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c:v>
              </c:pt>
              <c:pt idx="1">
                <c:v>Low</c:v>
              </c:pt>
              <c:pt idx="2">
                <c:v>Medium</c:v>
              </c:pt>
            </c:strLit>
          </c:cat>
          <c:val>
            <c:numLit>
              <c:formatCode>0</c:formatCode>
              <c:ptCount val="3"/>
              <c:pt idx="0">
                <c:v>4594</c:v>
              </c:pt>
              <c:pt idx="1">
                <c:v>1886</c:v>
              </c:pt>
              <c:pt idx="2">
                <c:v>2961</c:v>
              </c:pt>
            </c:numLit>
          </c:val>
          <c:extLst>
            <c:ext xmlns:c16="http://schemas.microsoft.com/office/drawing/2014/chart" uri="{C3380CC4-5D6E-409C-BE32-E72D297353CC}">
              <c16:uniqueId val="{00000000-57EF-4397-AE22-25755AFA0674}"/>
            </c:ext>
          </c:extLst>
        </c:ser>
        <c:dLbls>
          <c:dLblPos val="outEnd"/>
          <c:showLegendKey val="0"/>
          <c:showVal val="1"/>
          <c:showCatName val="0"/>
          <c:showSerName val="0"/>
          <c:showPercent val="0"/>
          <c:showBubbleSize val="0"/>
        </c:dLbls>
        <c:gapWidth val="219"/>
        <c:overlap val="-27"/>
        <c:axId val="84921440"/>
        <c:axId val="84924320"/>
      </c:barChart>
      <c:catAx>
        <c:axId val="8492144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24320"/>
        <c:crosses val="autoZero"/>
        <c:auto val="1"/>
        <c:lblAlgn val="ctr"/>
        <c:lblOffset val="100"/>
        <c:noMultiLvlLbl val="0"/>
        <c:extLst>
          <c:ext xmlns:c15="http://schemas.microsoft.com/office/drawing/2012/chart" uri="{F40574EE-89B7-4290-83BB-5DA773EAF853}">
            <c15:numFmt c:formatCode="General" c:sourceLinked="1"/>
          </c:ext>
        </c:extLst>
      </c:catAx>
      <c:valAx>
        <c:axId val="84924320"/>
        <c:scaling>
          <c:orientation val="minMax"/>
        </c:scaling>
        <c:delete val="1"/>
        <c:axPos val="l"/>
        <c:numFmt formatCode="0" sourceLinked="0"/>
        <c:majorTickMark val="none"/>
        <c:minorTickMark val="none"/>
        <c:tickLblPos val="nextTo"/>
        <c:crossAx val="84921440"/>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[Employees_Cleaning.xlsx]PivotChartTable19</c15:name>
        <c15:fmtId val="4"/>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Job Rate by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535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Lit>
          </c:cat>
          <c:val>
            <c:numLit>
              <c:formatCode>0.00</c:formatCode>
              <c:ptCount val="20"/>
              <c:pt idx="0">
                <c:v>3.6904761904761907</c:v>
              </c:pt>
              <c:pt idx="1">
                <c:v>3.7894736842105261</c:v>
              </c:pt>
              <c:pt idx="2">
                <c:v>3.0769230769230771</c:v>
              </c:pt>
              <c:pt idx="3">
                <c:v>4.2222222222222223</c:v>
              </c:pt>
              <c:pt idx="4">
                <c:v>3.6206896551724137</c:v>
              </c:pt>
              <c:pt idx="5">
                <c:v>2.875</c:v>
              </c:pt>
              <c:pt idx="6">
                <c:v>4.3571428571428568</c:v>
              </c:pt>
              <c:pt idx="7">
                <c:v>3.6</c:v>
              </c:pt>
              <c:pt idx="8">
                <c:v>4.25</c:v>
              </c:pt>
              <c:pt idx="9">
                <c:v>3.5357142857142856</c:v>
              </c:pt>
              <c:pt idx="10">
                <c:v>4.0999999999999996</c:v>
              </c:pt>
              <c:pt idx="11">
                <c:v>3.4270833333333335</c:v>
              </c:pt>
              <c:pt idx="12">
                <c:v>3.4852941176470589</c:v>
              </c:pt>
              <c:pt idx="13">
                <c:v>3.7857142857142856</c:v>
              </c:pt>
              <c:pt idx="14">
                <c:v>3.5746268656716418</c:v>
              </c:pt>
              <c:pt idx="15">
                <c:v>3.7640449438202248</c:v>
              </c:pt>
              <c:pt idx="16">
                <c:v>3.3</c:v>
              </c:pt>
              <c:pt idx="17">
                <c:v>3</c:v>
              </c:pt>
              <c:pt idx="18">
                <c:v>3.2749999999999999</c:v>
              </c:pt>
              <c:pt idx="19">
                <c:v>2.90625</c:v>
              </c:pt>
            </c:numLit>
          </c:val>
          <c:extLst>
            <c:ext xmlns:c16="http://schemas.microsoft.com/office/drawing/2014/chart" uri="{C3380CC4-5D6E-409C-BE32-E72D297353CC}">
              <c16:uniqueId val="{00000000-4AA2-48AD-BCBF-F6CE37DCC695}"/>
            </c:ext>
          </c:extLst>
        </c:ser>
        <c:dLbls>
          <c:dLblPos val="outEnd"/>
          <c:showLegendKey val="0"/>
          <c:showVal val="1"/>
          <c:showCatName val="0"/>
          <c:showSerName val="0"/>
          <c:showPercent val="0"/>
          <c:showBubbleSize val="0"/>
        </c:dLbls>
        <c:gapWidth val="219"/>
        <c:axId val="84921920"/>
        <c:axId val="84941120"/>
      </c:barChart>
      <c:catAx>
        <c:axId val="8492192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1120"/>
        <c:crosses val="autoZero"/>
        <c:auto val="1"/>
        <c:lblAlgn val="ctr"/>
        <c:lblOffset val="100"/>
        <c:noMultiLvlLbl val="0"/>
        <c:extLst>
          <c:ext xmlns:c15="http://schemas.microsoft.com/office/drawing/2012/chart" uri="{F40574EE-89B7-4290-83BB-5DA773EAF853}">
            <c15:numFmt c:formatCode="General" c:sourceLinked="1"/>
          </c:ext>
        </c:extLst>
      </c:catAx>
      <c:valAx>
        <c:axId val="84941120"/>
        <c:scaling>
          <c:orientation val="minMax"/>
        </c:scaling>
        <c:delete val="1"/>
        <c:axPos val="b"/>
        <c:numFmt formatCode="0.00" sourceLinked="0"/>
        <c:majorTickMark val="none"/>
        <c:minorTickMark val="none"/>
        <c:tickLblPos val="nextTo"/>
        <c:crossAx val="84921920"/>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[Employees_Cleaning.xlsx]PivotChartTable20</c15:name>
        <c15:fmtId val="6"/>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[Employees_Cleaning.xlsx]Pivot Tables &amp; Charts!PivotTable22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a:t>
            </a:r>
            <a:r>
              <a:rPr lang="en-US" b="1" baseline="0">
                <a:solidFill>
                  <a:schemeClr val="tx1"/>
                </a:solidFill>
              </a:rPr>
              <a:t> Average Annual Salary by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51337876266037"/>
          <c:y val="0.22982005121916302"/>
          <c:w val="0.64248662123733957"/>
          <c:h val="0.76869457790395312"/>
        </c:manualLayout>
      </c:layout>
      <c:barChart>
        <c:barDir val="bar"/>
        <c:grouping val="clustered"/>
        <c:varyColors val="0"/>
        <c:ser>
          <c:idx val="0"/>
          <c:order val="0"/>
          <c:tx>
            <c:strRef>
              <c:f>'Pivot Tables &amp; Charts'!$B$45</c:f>
              <c:strCache>
                <c:ptCount val="1"/>
                <c:pt idx="0">
                  <c:v>Total</c:v>
                </c:pt>
              </c:strCache>
            </c:strRef>
          </c:tx>
          <c:spPr>
            <a:solidFill>
              <a:srgbClr val="0535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Charts'!$A$46:$A$56</c:f>
              <c:strCache>
                <c:ptCount val="10"/>
                <c:pt idx="0">
                  <c:v>Marketing</c:v>
                </c:pt>
                <c:pt idx="1">
                  <c:v>Green Building</c:v>
                </c:pt>
                <c:pt idx="2">
                  <c:v>Quality Assurance</c:v>
                </c:pt>
                <c:pt idx="3">
                  <c:v>Research/Development</c:v>
                </c:pt>
                <c:pt idx="4">
                  <c:v>IT</c:v>
                </c:pt>
                <c:pt idx="5">
                  <c:v>Major Mfg Projects</c:v>
                </c:pt>
                <c:pt idx="6">
                  <c:v>Facilities/Engineering</c:v>
                </c:pt>
                <c:pt idx="7">
                  <c:v>Training</c:v>
                </c:pt>
                <c:pt idx="8">
                  <c:v>Environmental Compliance</c:v>
                </c:pt>
                <c:pt idx="9">
                  <c:v>Human Resources</c:v>
                </c:pt>
              </c:strCache>
            </c:strRef>
          </c:cat>
          <c:val>
            <c:numRef>
              <c:f>'Pivot Tables &amp; Charts'!$B$46:$B$56</c:f>
              <c:numCache>
                <c:formatCode>#,##0</c:formatCode>
                <c:ptCount val="10"/>
                <c:pt idx="0">
                  <c:v>24733.5</c:v>
                </c:pt>
                <c:pt idx="1">
                  <c:v>24994.5</c:v>
                </c:pt>
                <c:pt idx="2">
                  <c:v>25007.104477611942</c:v>
                </c:pt>
                <c:pt idx="3">
                  <c:v>25183.200000000001</c:v>
                </c:pt>
                <c:pt idx="4">
                  <c:v>25374.3</c:v>
                </c:pt>
                <c:pt idx="5">
                  <c:v>26908.5</c:v>
                </c:pt>
                <c:pt idx="6">
                  <c:v>27423.310344827587</c:v>
                </c:pt>
                <c:pt idx="7">
                  <c:v>28341</c:v>
                </c:pt>
                <c:pt idx="8">
                  <c:v>30097.846153846152</c:v>
                </c:pt>
                <c:pt idx="9">
                  <c:v>30670.285714285714</c:v>
                </c:pt>
              </c:numCache>
            </c:numRef>
          </c:val>
          <c:extLst>
            <c:ext xmlns:c16="http://schemas.microsoft.com/office/drawing/2014/chart" uri="{C3380CC4-5D6E-409C-BE32-E72D297353CC}">
              <c16:uniqueId val="{00000000-6A01-48A2-A1EA-4BCDB088EEB1}"/>
            </c:ext>
          </c:extLst>
        </c:ser>
        <c:dLbls>
          <c:dLblPos val="outEnd"/>
          <c:showLegendKey val="0"/>
          <c:showVal val="1"/>
          <c:showCatName val="0"/>
          <c:showSerName val="0"/>
          <c:showPercent val="0"/>
          <c:showBubbleSize val="0"/>
        </c:dLbls>
        <c:gapWidth val="219"/>
        <c:axId val="84931040"/>
        <c:axId val="84929120"/>
      </c:barChart>
      <c:catAx>
        <c:axId val="84931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29120"/>
        <c:crosses val="autoZero"/>
        <c:auto val="1"/>
        <c:lblAlgn val="ctr"/>
        <c:lblOffset val="100"/>
        <c:noMultiLvlLbl val="0"/>
      </c:catAx>
      <c:valAx>
        <c:axId val="84929120"/>
        <c:scaling>
          <c:orientation val="minMax"/>
        </c:scaling>
        <c:delete val="1"/>
        <c:axPos val="b"/>
        <c:numFmt formatCode="#,##0" sourceLinked="1"/>
        <c:majorTickMark val="out"/>
        <c:minorTickMark val="none"/>
        <c:tickLblPos val="nextTo"/>
        <c:crossAx val="8493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Overtime Hours by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353F"/>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5353F"/>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Lit>
          </c:cat>
          <c:val>
            <c:numLit>
              <c:formatCode>General</c:formatCode>
              <c:ptCount val="20"/>
              <c:pt idx="0">
                <c:v>15.047619047619047</c:v>
              </c:pt>
              <c:pt idx="1">
                <c:v>17.473684210526315</c:v>
              </c:pt>
              <c:pt idx="2">
                <c:v>11.153846153846153</c:v>
              </c:pt>
              <c:pt idx="3">
                <c:v>3.6666666666666665</c:v>
              </c:pt>
              <c:pt idx="4">
                <c:v>10.431034482758621</c:v>
              </c:pt>
              <c:pt idx="5">
                <c:v>18.375</c:v>
              </c:pt>
              <c:pt idx="6">
                <c:v>17</c:v>
              </c:pt>
              <c:pt idx="7">
                <c:v>13.074999999999999</c:v>
              </c:pt>
              <c:pt idx="8">
                <c:v>38.625</c:v>
              </c:pt>
              <c:pt idx="9">
                <c:v>12.135714285714286</c:v>
              </c:pt>
              <c:pt idx="10">
                <c:v>26</c:v>
              </c:pt>
              <c:pt idx="11">
                <c:v>6.916666666666667</c:v>
              </c:pt>
              <c:pt idx="12">
                <c:v>6.4411764705882355</c:v>
              </c:pt>
              <c:pt idx="13">
                <c:v>15.642857142857142</c:v>
              </c:pt>
              <c:pt idx="14">
                <c:v>11.507462686567164</c:v>
              </c:pt>
              <c:pt idx="15">
                <c:v>19.101123595505619</c:v>
              </c:pt>
              <c:pt idx="16">
                <c:v>5.4</c:v>
              </c:pt>
              <c:pt idx="17">
                <c:v>3</c:v>
              </c:pt>
              <c:pt idx="18">
                <c:v>23.3</c:v>
              </c:pt>
              <c:pt idx="19">
                <c:v>24.125</c:v>
              </c:pt>
            </c:numLit>
          </c:val>
          <c:extLst>
            <c:ext xmlns:c16="http://schemas.microsoft.com/office/drawing/2014/chart" uri="{C3380CC4-5D6E-409C-BE32-E72D297353CC}">
              <c16:uniqueId val="{00000000-19EA-4EA4-B8E9-F446360335CE}"/>
            </c:ext>
          </c:extLst>
        </c:ser>
        <c:dLbls>
          <c:dLblPos val="outEnd"/>
          <c:showLegendKey val="0"/>
          <c:showVal val="1"/>
          <c:showCatName val="0"/>
          <c:showSerName val="0"/>
          <c:showPercent val="0"/>
          <c:showBubbleSize val="0"/>
        </c:dLbls>
        <c:gapWidth val="219"/>
        <c:axId val="1642355456"/>
        <c:axId val="1642354016"/>
      </c:barChart>
      <c:catAx>
        <c:axId val="1642355456"/>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54016"/>
        <c:crosses val="autoZero"/>
        <c:auto val="1"/>
        <c:lblAlgn val="ctr"/>
        <c:lblOffset val="100"/>
        <c:noMultiLvlLbl val="0"/>
        <c:extLst>
          <c:ext xmlns:c15="http://schemas.microsoft.com/office/drawing/2012/chart" uri="{F40574EE-89B7-4290-83BB-5DA773EAF853}">
            <c15:numFmt c:formatCode="General" c:sourceLinked="1"/>
          </c:ext>
        </c:extLst>
      </c:catAx>
      <c:valAx>
        <c:axId val="1642354016"/>
        <c:scaling>
          <c:orientation val="minMax"/>
        </c:scaling>
        <c:delete val="1"/>
        <c:axPos val="b"/>
        <c:numFmt formatCode="General" sourceLinked="0"/>
        <c:majorTickMark val="none"/>
        <c:minorTickMark val="none"/>
        <c:tickLblPos val="nextTo"/>
        <c:crossAx val="1642355456"/>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[Employees_Cleaning.xlsx]PivotChartTable21</c15:name>
        <c15:fmtId val="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Leaves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535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Lit>
          </c:cat>
          <c:val>
            <c:numLit>
              <c:formatCode>0</c:formatCode>
              <c:ptCount val="20"/>
              <c:pt idx="0">
                <c:v>211</c:v>
              </c:pt>
              <c:pt idx="1">
                <c:v>38</c:v>
              </c:pt>
              <c:pt idx="2">
                <c:v>29</c:v>
              </c:pt>
              <c:pt idx="3">
                <c:v>29</c:v>
              </c:pt>
              <c:pt idx="4">
                <c:v>170</c:v>
              </c:pt>
              <c:pt idx="5">
                <c:v>11</c:v>
              </c:pt>
              <c:pt idx="6">
                <c:v>18</c:v>
              </c:pt>
              <c:pt idx="7">
                <c:v>74</c:v>
              </c:pt>
              <c:pt idx="8">
                <c:v>17</c:v>
              </c:pt>
              <c:pt idx="9">
                <c:v>300</c:v>
              </c:pt>
              <c:pt idx="10">
                <c:v>17</c:v>
              </c:pt>
              <c:pt idx="11">
                <c:v>96</c:v>
              </c:pt>
              <c:pt idx="12">
                <c:v>56</c:v>
              </c:pt>
              <c:pt idx="13">
                <c:v>38</c:v>
              </c:pt>
              <c:pt idx="14">
                <c:v>205</c:v>
              </c:pt>
              <c:pt idx="15">
                <c:v>204</c:v>
              </c:pt>
              <c:pt idx="16">
                <c:v>31</c:v>
              </c:pt>
              <c:pt idx="17">
                <c:v>7</c:v>
              </c:pt>
              <c:pt idx="18">
                <c:v>36</c:v>
              </c:pt>
              <c:pt idx="19">
                <c:v>45</c:v>
              </c:pt>
            </c:numLit>
          </c:val>
          <c:extLst>
            <c:ext xmlns:c16="http://schemas.microsoft.com/office/drawing/2014/chart" uri="{C3380CC4-5D6E-409C-BE32-E72D297353CC}">
              <c16:uniqueId val="{00000000-9A78-45FB-98CC-8AA28445359A}"/>
            </c:ext>
          </c:extLst>
        </c:ser>
        <c:dLbls>
          <c:dLblPos val="outEnd"/>
          <c:showLegendKey val="0"/>
          <c:showVal val="1"/>
          <c:showCatName val="0"/>
          <c:showSerName val="0"/>
          <c:showPercent val="0"/>
          <c:showBubbleSize val="0"/>
        </c:dLbls>
        <c:gapWidth val="219"/>
        <c:axId val="84935840"/>
        <c:axId val="84941600"/>
      </c:barChart>
      <c:catAx>
        <c:axId val="8493584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1600"/>
        <c:crosses val="autoZero"/>
        <c:auto val="1"/>
        <c:lblAlgn val="ctr"/>
        <c:lblOffset val="100"/>
        <c:noMultiLvlLbl val="0"/>
        <c:extLst>
          <c:ext xmlns:c15="http://schemas.microsoft.com/office/drawing/2012/chart" uri="{F40574EE-89B7-4290-83BB-5DA773EAF853}">
            <c15:numFmt c:formatCode="General" c:sourceLinked="1"/>
          </c:ext>
        </c:extLst>
      </c:catAx>
      <c:valAx>
        <c:axId val="84941600"/>
        <c:scaling>
          <c:orientation val="minMax"/>
        </c:scaling>
        <c:delete val="1"/>
        <c:axPos val="b"/>
        <c:numFmt formatCode="0" sourceLinked="0"/>
        <c:majorTickMark val="none"/>
        <c:minorTickMark val="none"/>
        <c:tickLblPos val="nextTo"/>
        <c:crossAx val="84935840"/>
        <c:crosses val="autoZero"/>
        <c:crossBetween val="between"/>
        <c:extLst>
          <c:ext xmlns:c15="http://schemas.microsoft.com/office/drawing/2012/chart" uri="{F40574EE-89B7-4290-83BB-5DA773EAF853}">
            <c15:numFmt c:formatCode="0" c:sourceLinked="1"/>
          </c:ext>
        </c:extLs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[Employees_Cleaning.xlsx]PivotChartTable22</c15:name>
        <c15:fmtId val="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 of Employee by Experience Groups</a:t>
            </a:r>
          </a:p>
        </c:rich>
      </c:tx>
      <c:layout>
        <c:manualLayout>
          <c:xMode val="edge"/>
          <c:yMode val="edge"/>
          <c:x val="0.22200541389341449"/>
          <c:y val="3.2904266518141663E-2"/>
        </c:manualLayout>
      </c:layout>
      <c:overlay val="0"/>
      <c:spPr>
        <a:noFill/>
        <a:ln>
          <a:noFill/>
        </a:ln>
        <a:effectLst/>
      </c:spPr>
    </c:title>
    <c:autoTitleDeleted val="0"/>
    <c:pivotFmts>
      <c:pivotFmt>
        <c:idx val="0"/>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866B34"/>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05353F"/>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866B34"/>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05353F"/>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rgbClr val="866B34"/>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rgbClr val="05353F"/>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rgbClr val="866B34"/>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05353F"/>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3"/>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rgbClr val="866B34"/>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rgbClr val="05353F"/>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09FC007-314B-4EFB-9D4F-1FC2029E583C}"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4E821F7E-7CEB-4558-B7C4-15F5A4AC90CD}"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7"/>
        <c:spPr>
          <a:solidFill>
            <a:schemeClr val="accent3"/>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22701DA-F311-4097-A15F-3C24645800F7}"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3592CABA-87BB-453F-96E7-43F999ED1050}"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8"/>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spPr>
          <a:solidFill>
            <a:srgbClr val="866B34"/>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rgbClr val="05353F"/>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09FC007-314B-4EFB-9D4F-1FC2029E583C}"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4E821F7E-7CEB-4558-B7C4-15F5A4AC90CD}"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1"/>
        <c:spPr>
          <a:solidFill>
            <a:schemeClr val="accent3"/>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22701DA-F311-4097-A15F-3C24645800F7}"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3592CABA-87BB-453F-96E7-43F999ED1050}"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2"/>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rgbClr val="866B34"/>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rgbClr val="05353F"/>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09FC007-314B-4EFB-9D4F-1FC2029E583C}"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4E821F7E-7CEB-4558-B7C4-15F5A4AC90CD}"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5"/>
        <c:spPr>
          <a:solidFill>
            <a:schemeClr val="accent3"/>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22701DA-F311-4097-A15F-3C24645800F7}"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3592CABA-87BB-453F-96E7-43F999ED1050}"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6"/>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7"/>
        <c:spPr>
          <a:solidFill>
            <a:srgbClr val="866B34"/>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rgbClr val="05353F"/>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09FC007-314B-4EFB-9D4F-1FC2029E583C}"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4E821F7E-7CEB-4558-B7C4-15F5A4AC90CD}"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9"/>
        <c:spPr>
          <a:solidFill>
            <a:schemeClr val="accent3"/>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22701DA-F311-4097-A15F-3C24645800F7}"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3592CABA-87BB-453F-96E7-43F999ED1050}"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0"/>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1"/>
        <c:spPr>
          <a:solidFill>
            <a:srgbClr val="866B34"/>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rgbClr val="05353F"/>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09FC007-314B-4EFB-9D4F-1FC2029E583C}"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4E821F7E-7CEB-4558-B7C4-15F5A4AC90CD}"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3"/>
        <c:spPr>
          <a:solidFill>
            <a:schemeClr val="accent3"/>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22701DA-F311-4097-A15F-3C24645800F7}"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3592CABA-87BB-453F-96E7-43F999ED1050}"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4"/>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solidFill>
            <a:srgbClr val="866B34"/>
          </a:solidFill>
          <a:ln>
            <a:no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rgbClr val="05353F"/>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09FC007-314B-4EFB-9D4F-1FC2029E583C}"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4E821F7E-7CEB-4558-B7C4-15F5A4AC90CD}"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7"/>
        <c:spPr>
          <a:solidFill>
            <a:schemeClr val="accent3"/>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22701DA-F311-4097-A15F-3C24645800F7}"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3592CABA-87BB-453F-96E7-43F999ED1050}"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8"/>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gradFill>
            <a:gsLst>
              <a:gs pos="0">
                <a:srgbClr val="FFC000">
                  <a:lumMod val="40000"/>
                  <a:lumOff val="60000"/>
                </a:srgbClr>
              </a:gs>
              <a:gs pos="74000">
                <a:srgbClr val="866B34"/>
              </a:gs>
              <a:gs pos="83000">
                <a:srgbClr val="866B34"/>
              </a:gs>
              <a:gs pos="100000">
                <a:srgbClr val="866B34"/>
              </a:gs>
            </a:gsLst>
            <a:lin ang="2700000" scaled="1"/>
          </a:gradFill>
          <a:ln>
            <a:noFill/>
          </a:ln>
          <a:effectLst/>
        </c:spP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0"/>
        <c:spPr>
          <a:gradFill>
            <a:gsLst>
              <a:gs pos="0">
                <a:srgbClr val="4472C4">
                  <a:lumMod val="40000"/>
                  <a:lumOff val="60000"/>
                </a:srgbClr>
              </a:gs>
              <a:gs pos="74000">
                <a:srgbClr val="05353F"/>
              </a:gs>
              <a:gs pos="83000">
                <a:srgbClr val="05353F"/>
              </a:gs>
              <a:gs pos="100000">
                <a:srgbClr val="05353F"/>
              </a:gs>
            </a:gsLst>
            <a:lin ang="2700000" scaled="1"/>
          </a:gra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09FC007-314B-4EFB-9D4F-1FC2029E583C}" type="CATEGORYNAME">
                  <a:rPr lang="en-US">
                    <a:solidFill>
                      <a:schemeClr val="tx1"/>
                    </a:solidFill>
                  </a:rPr>
                  <a:pPr>
                    <a:defRPr sz="900" b="0" i="0" u="none" strike="noStrike" kern="1200" baseline="0">
                      <a:solidFill>
                        <a:schemeClr val="tx1"/>
                      </a:solidFill>
                      <a:latin typeface="+mn-lt"/>
                      <a:ea typeface="+mn-ea"/>
                      <a:cs typeface="+mn-cs"/>
                    </a:defRPr>
                  </a:pPr>
                  <a:t>[CATEGORY NAME]</a:t>
                </a:fld>
                <a:r>
                  <a:rPr lang="en-US" baseline="0">
                    <a:solidFill>
                      <a:schemeClr val="tx1"/>
                    </a:solidFill>
                  </a:rPr>
                  <a:t>
</a:t>
                </a:r>
                <a:fld id="{4E821F7E-7CEB-4558-B7C4-15F5A4AC90CD}" type="VALUE">
                  <a:rPr lang="en-US" baseline="0">
                    <a:solidFill>
                      <a:schemeClr val="tx1"/>
                    </a:solidFill>
                  </a:rPr>
                  <a:pPr>
                    <a:defRPr sz="900" b="0" i="0" u="none" strike="noStrike" kern="1200" baseline="0">
                      <a:solidFill>
                        <a:schemeClr val="tx1"/>
                      </a:solidFill>
                      <a:latin typeface="+mn-lt"/>
                      <a:ea typeface="+mn-ea"/>
                      <a:cs typeface="+mn-cs"/>
                    </a:defRPr>
                  </a:pPr>
                  <a:t>[VALUE]</a:t>
                </a:fld>
                <a:endParaRPr lang="en-US" baseline="0">
                  <a:solidFill>
                    <a:schemeClr val="tx1"/>
                  </a:solidFill>
                </a:endParaRPr>
              </a:p>
            </c:rich>
          </c:tx>
          <c:spPr>
            <a:solidFill>
              <a:srgbClr val="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51"/>
        <c:spPr>
          <a:gradFill>
            <a:gsLst>
              <a:gs pos="1000">
                <a:srgbClr val="E7E6E6">
                  <a:lumMod val="90000"/>
                </a:srgbClr>
              </a:gs>
              <a:gs pos="74000">
                <a:srgbClr val="E7E6E6">
                  <a:lumMod val="50000"/>
                </a:srgbClr>
              </a:gs>
              <a:gs pos="83000">
                <a:srgbClr val="E7E6E6">
                  <a:lumMod val="50000"/>
                </a:srgbClr>
              </a:gs>
              <a:gs pos="100000">
                <a:srgbClr val="E7E6E6">
                  <a:lumMod val="50000"/>
                </a:srgbClr>
              </a:gs>
            </a:gsLst>
            <a:lin ang="2700000" scaled="1"/>
          </a:gra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822701DA-F311-4097-A15F-3C24645800F7}" type="CATEGORYNAME">
                  <a:rPr lang="en-US">
                    <a:solidFill>
                      <a:schemeClr val="tx1"/>
                    </a:solidFill>
                  </a:rPr>
                  <a:pPr>
                    <a:defRPr sz="900" b="0" i="0" u="none" strike="noStrike" kern="1200" baseline="0">
                      <a:solidFill>
                        <a:schemeClr val="tx1"/>
                      </a:solidFill>
                      <a:latin typeface="+mn-lt"/>
                      <a:ea typeface="+mn-ea"/>
                      <a:cs typeface="+mn-cs"/>
                    </a:defRPr>
                  </a:pPr>
                  <a:t>[CATEGORY NAME]</a:t>
                </a:fld>
                <a:r>
                  <a:rPr lang="en-US" baseline="0">
                    <a:solidFill>
                      <a:schemeClr val="tx1"/>
                    </a:solidFill>
                  </a:rPr>
                  <a:t>
</a:t>
                </a:r>
                <a:fld id="{3592CABA-87BB-453F-96E7-43F999ED1050}" type="VALUE">
                  <a:rPr lang="en-US" baseline="0">
                    <a:solidFill>
                      <a:schemeClr val="tx1"/>
                    </a:solidFill>
                  </a:rPr>
                  <a:pPr>
                    <a:defRPr sz="900" b="0" i="0" u="none" strike="noStrike" kern="1200" baseline="0">
                      <a:solidFill>
                        <a:schemeClr val="tx1"/>
                      </a:solidFill>
                      <a:latin typeface="+mn-lt"/>
                      <a:ea typeface="+mn-ea"/>
                      <a:cs typeface="+mn-cs"/>
                    </a:defRPr>
                  </a:pPr>
                  <a:t>[VALUE]</a:t>
                </a:fld>
                <a:endParaRPr lang="en-US" baseline="0">
                  <a:solidFill>
                    <a:schemeClr val="tx1"/>
                  </a:solidFill>
                </a:endParaRPr>
              </a:p>
            </c:rich>
          </c:tx>
          <c:spPr>
            <a:solidFill>
              <a:srgbClr val="FFFFFF"/>
            </a:solidFill>
            <a:ln>
              <a:noFill/>
            </a:ln>
            <a:effectLst/>
          </c:sp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s>
    <c:plotArea>
      <c:layout/>
      <c:pieChart>
        <c:varyColors val="1"/>
        <c:ser>
          <c:idx val="0"/>
          <c:order val="0"/>
          <c:tx>
            <c:v>Total</c:v>
          </c:tx>
          <c:explosion val="3"/>
          <c:dPt>
            <c:idx val="0"/>
            <c:bubble3D val="0"/>
            <c:spPr>
              <a:gradFill>
                <a:gsLst>
                  <a:gs pos="0">
                    <a:srgbClr val="FFC000">
                      <a:lumMod val="40000"/>
                      <a:lumOff val="60000"/>
                    </a:srgbClr>
                  </a:gs>
                  <a:gs pos="74000">
                    <a:srgbClr val="866B34"/>
                  </a:gs>
                  <a:gs pos="83000">
                    <a:srgbClr val="866B34"/>
                  </a:gs>
                  <a:gs pos="100000">
                    <a:srgbClr val="866B34"/>
                  </a:gs>
                </a:gsLst>
                <a:lin ang="2700000" scaled="1"/>
              </a:gradFill>
              <a:ln>
                <a:noFill/>
              </a:ln>
              <a:effectLst/>
            </c:spPr>
            <c:extLst>
              <c:ext xmlns:c16="http://schemas.microsoft.com/office/drawing/2014/chart" uri="{C3380CC4-5D6E-409C-BE32-E72D297353CC}">
                <c16:uniqueId val="{00000001-8FC6-4471-B5DF-A58F079B83C4}"/>
              </c:ext>
            </c:extLst>
          </c:dPt>
          <c:dPt>
            <c:idx val="1"/>
            <c:bubble3D val="0"/>
            <c:spPr>
              <a:gradFill>
                <a:gsLst>
                  <a:gs pos="0">
                    <a:srgbClr val="4472C4">
                      <a:lumMod val="40000"/>
                      <a:lumOff val="60000"/>
                    </a:srgbClr>
                  </a:gs>
                  <a:gs pos="74000">
                    <a:srgbClr val="05353F"/>
                  </a:gs>
                  <a:gs pos="83000">
                    <a:srgbClr val="05353F"/>
                  </a:gs>
                  <a:gs pos="100000">
                    <a:srgbClr val="05353F"/>
                  </a:gs>
                </a:gsLst>
                <a:lin ang="2700000" scaled="1"/>
              </a:gradFill>
              <a:ln>
                <a:noFill/>
              </a:ln>
              <a:effectLst/>
            </c:spPr>
            <c:extLst>
              <c:ext xmlns:c16="http://schemas.microsoft.com/office/drawing/2014/chart" uri="{C3380CC4-5D6E-409C-BE32-E72D297353CC}">
                <c16:uniqueId val="{00000003-8FC6-4471-B5DF-A58F079B83C4}"/>
              </c:ext>
            </c:extLst>
          </c:dPt>
          <c:dPt>
            <c:idx val="2"/>
            <c:bubble3D val="0"/>
            <c:spPr>
              <a:gradFill>
                <a:gsLst>
                  <a:gs pos="1000">
                    <a:srgbClr val="E7E6E6">
                      <a:lumMod val="90000"/>
                    </a:srgbClr>
                  </a:gs>
                  <a:gs pos="74000">
                    <a:srgbClr val="E7E6E6">
                      <a:lumMod val="50000"/>
                    </a:srgbClr>
                  </a:gs>
                  <a:gs pos="83000">
                    <a:srgbClr val="E7E6E6">
                      <a:lumMod val="50000"/>
                    </a:srgbClr>
                  </a:gs>
                  <a:gs pos="100000">
                    <a:srgbClr val="E7E6E6">
                      <a:lumMod val="50000"/>
                    </a:srgbClr>
                  </a:gs>
                </a:gsLst>
                <a:lin ang="2700000" scaled="1"/>
              </a:gradFill>
              <a:ln>
                <a:noFill/>
              </a:ln>
              <a:effectLst/>
            </c:spPr>
            <c:extLst>
              <c:ext xmlns:c16="http://schemas.microsoft.com/office/drawing/2014/chart" uri="{C3380CC4-5D6E-409C-BE32-E72D297353CC}">
                <c16:uniqueId val="{00000005-8FC6-4471-B5DF-A58F079B83C4}"/>
              </c:ext>
            </c:extLst>
          </c:dPt>
          <c:dLbls>
            <c:dLbl>
              <c:idx val="0"/>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C6-4471-B5DF-A58F079B83C4}"/>
                </c:ext>
              </c:extLst>
            </c:dLbl>
            <c:dLbl>
              <c:idx val="1"/>
              <c:tx>
                <c:rich>
                  <a:bodyPr/>
                  <a:lstStyle/>
                  <a:p>
                    <a:fld id="{009FC007-314B-4EFB-9D4F-1FC2029E583C}" type="CATEGORYNAME">
                      <a:rPr lang="en-US">
                        <a:solidFill>
                          <a:schemeClr val="tx1"/>
                        </a:solidFill>
                      </a:rPr>
                      <a:pPr/>
                      <a:t>[CATEGORY NAME]</a:t>
                    </a:fld>
                    <a:r>
                      <a:rPr lang="en-US" baseline="0">
                        <a:solidFill>
                          <a:schemeClr val="tx1"/>
                        </a:solidFill>
                      </a:rPr>
                      <a:t>
</a:t>
                    </a:r>
                    <a:fld id="{4E821F7E-7CEB-4558-B7C4-15F5A4AC90CD}" type="VALUE">
                      <a:rPr lang="en-US" baseline="0">
                        <a:solidFill>
                          <a:schemeClr val="tx1"/>
                        </a:solidFill>
                      </a:rPr>
                      <a:pPr/>
                      <a:t>[VALUE]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FC6-4471-B5DF-A58F079B83C4}"/>
                </c:ext>
              </c:extLst>
            </c:dLbl>
            <c:dLbl>
              <c:idx val="2"/>
              <c:tx>
                <c:rich>
                  <a:bodyPr/>
                  <a:lstStyle/>
                  <a:p>
                    <a:fld id="{822701DA-F311-4097-A15F-3C24645800F7}" type="CATEGORYNAME">
                      <a:rPr lang="en-US">
                        <a:solidFill>
                          <a:schemeClr val="tx1"/>
                        </a:solidFill>
                      </a:rPr>
                      <a:pPr/>
                      <a:t>[CATEGORY NAME]</a:t>
                    </a:fld>
                    <a:r>
                      <a:rPr lang="en-US" baseline="0">
                        <a:solidFill>
                          <a:schemeClr val="tx1"/>
                        </a:solidFill>
                      </a:rPr>
                      <a:t>
</a:t>
                    </a:r>
                    <a:fld id="{3592CABA-87BB-453F-96E7-43F999ED1050}" type="VALUE">
                      <a:rPr lang="en-US" baseline="0">
                        <a:solidFill>
                          <a:schemeClr val="tx1"/>
                        </a:solidFill>
                      </a:rPr>
                      <a:pPr/>
                      <a:t>[VALUE]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FC6-4471-B5DF-A58F079B83C4}"/>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Lit>
              <c:ptCount val="3"/>
              <c:pt idx="0">
                <c:v>5-6 Years</c:v>
              </c:pt>
              <c:pt idx="1">
                <c:v>7-8 Years</c:v>
              </c:pt>
              <c:pt idx="2">
                <c:v>9-10 Years</c:v>
              </c:pt>
            </c:strLit>
          </c:cat>
          <c:val>
            <c:numLit>
              <c:formatCode>0</c:formatCode>
              <c:ptCount val="3"/>
              <c:pt idx="0">
                <c:v>256</c:v>
              </c:pt>
              <c:pt idx="1">
                <c:v>326</c:v>
              </c:pt>
              <c:pt idx="2">
                <c:v>107</c:v>
              </c:pt>
            </c:numLit>
          </c:val>
          <c:extLst>
            <c:ext xmlns:c16="http://schemas.microsoft.com/office/drawing/2014/chart" uri="{C3380CC4-5D6E-409C-BE32-E72D297353CC}">
              <c16:uniqueId val="{00000006-8FC6-4471-B5DF-A58F079B83C4}"/>
            </c:ext>
          </c:extLst>
        </c:ser>
        <c:dLbls>
          <c:showLegendKey val="0"/>
          <c:showVal val="0"/>
          <c:showCatName val="0"/>
          <c:showSerName val="0"/>
          <c:showPercent val="0"/>
          <c:showBubbleSize val="0"/>
          <c:showLeaderLines val="0"/>
        </c:dLbls>
        <c:firstSliceAng val="0"/>
      </c:pieChart>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[Employees_Cleaning.xlsx]PivotChartTable15</c15:name>
        <c15:fmtId val="19"/>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[Employees_Cleaning.xlsx]Pivot Tables &amp; Charts!PivotTable12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Employee by Gender</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rgbClr val="05353F"/>
          </a:solidFill>
          <a:ln w="19050">
            <a:solidFill>
              <a:schemeClr val="lt1"/>
            </a:solidFill>
          </a:ln>
          <a:effectLst/>
        </c:spPr>
      </c:pivotFmt>
      <c:pivotFmt>
        <c:idx val="8"/>
        <c:spPr>
          <a:solidFill>
            <a:srgbClr val="866B34"/>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rgbClr val="05353F"/>
          </a:solidFill>
          <a:ln w="19050">
            <a:solidFill>
              <a:schemeClr val="lt1"/>
            </a:solidFill>
          </a:ln>
          <a:effectLst/>
        </c:spPr>
      </c:pivotFmt>
      <c:pivotFmt>
        <c:idx val="11"/>
        <c:spPr>
          <a:solidFill>
            <a:srgbClr val="866B34"/>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05353F"/>
          </a:solidFill>
          <a:ln w="19050">
            <a:solidFill>
              <a:schemeClr val="lt1"/>
            </a:solidFill>
          </a:ln>
          <a:effectLst/>
        </c:spPr>
      </c:pivotFmt>
      <c:pivotFmt>
        <c:idx val="14"/>
        <c:spPr>
          <a:solidFill>
            <a:srgbClr val="866B34"/>
          </a:solidFill>
          <a:ln w="19050">
            <a:solidFill>
              <a:schemeClr val="lt1"/>
            </a:solidFill>
          </a:ln>
          <a:effectLst/>
        </c:spPr>
      </c:pivotFmt>
      <c:pivotFmt>
        <c:idx val="15"/>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05353F"/>
          </a:solidFill>
          <a:ln w="19050">
            <a:solidFill>
              <a:schemeClr val="lt1"/>
            </a:solidFill>
          </a:ln>
          <a:effectLst/>
        </c:spPr>
      </c:pivotFmt>
      <c:pivotFmt>
        <c:idx val="17"/>
        <c:spPr>
          <a:solidFill>
            <a:srgbClr val="866B34"/>
          </a:solidFill>
          <a:ln w="19050">
            <a:solidFill>
              <a:schemeClr val="lt1"/>
            </a:solidFill>
          </a:ln>
          <a:effectLst/>
        </c:spPr>
      </c:pivotFmt>
      <c:pivotFmt>
        <c:idx val="18"/>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rgbClr val="05353F"/>
          </a:solidFill>
          <a:ln w="19050">
            <a:solidFill>
              <a:schemeClr val="lt1"/>
            </a:solidFill>
          </a:ln>
          <a:effectLst/>
        </c:spPr>
      </c:pivotFmt>
      <c:pivotFmt>
        <c:idx val="20"/>
        <c:spPr>
          <a:solidFill>
            <a:srgbClr val="866B34"/>
          </a:solidFill>
          <a:ln w="19050">
            <a:solidFill>
              <a:schemeClr val="lt1"/>
            </a:solidFill>
          </a:ln>
          <a:effectLst/>
        </c:spPr>
      </c:pivotFmt>
      <c:pivotFmt>
        <c:idx val="21"/>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rgbClr val="05353F"/>
          </a:solidFill>
          <a:ln w="19050">
            <a:solidFill>
              <a:schemeClr val="lt1"/>
            </a:solidFill>
          </a:ln>
          <a:effectLst/>
        </c:spPr>
      </c:pivotFmt>
      <c:pivotFmt>
        <c:idx val="23"/>
        <c:spPr>
          <a:solidFill>
            <a:srgbClr val="866B34"/>
          </a:solidFill>
          <a:ln w="19050">
            <a:solidFill>
              <a:schemeClr val="lt1"/>
            </a:solidFill>
          </a:ln>
          <a:effectLst/>
        </c:spPr>
      </c:pivotFmt>
      <c:pivotFmt>
        <c:idx val="24"/>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rgbClr val="05353F"/>
          </a:solidFill>
          <a:ln w="19050">
            <a:solidFill>
              <a:schemeClr val="lt1"/>
            </a:solidFill>
          </a:ln>
          <a:effectLst/>
        </c:spPr>
      </c:pivotFmt>
      <c:pivotFmt>
        <c:idx val="26"/>
        <c:spPr>
          <a:solidFill>
            <a:srgbClr val="866B34"/>
          </a:solidFill>
          <a:ln w="19050">
            <a:solidFill>
              <a:schemeClr val="lt1"/>
            </a:solidFill>
          </a:ln>
          <a:effectLst/>
        </c:spPr>
      </c:pivotFmt>
      <c:pivotFmt>
        <c:idx val="27"/>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rgbClr val="05353F"/>
          </a:solidFill>
          <a:ln w="19050">
            <a:solidFill>
              <a:schemeClr val="lt1"/>
            </a:solidFill>
          </a:ln>
          <a:effectLst/>
        </c:spPr>
      </c:pivotFmt>
      <c:pivotFmt>
        <c:idx val="29"/>
        <c:spPr>
          <a:solidFill>
            <a:srgbClr val="866B34"/>
          </a:solidFill>
          <a:ln w="19050">
            <a:solidFill>
              <a:schemeClr val="lt1"/>
            </a:solidFill>
          </a:ln>
          <a:effectLst/>
        </c:spPr>
      </c:pivotFmt>
      <c:pivotFmt>
        <c:idx val="30"/>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rgbClr val="05353F"/>
          </a:solidFill>
          <a:ln w="19050">
            <a:solidFill>
              <a:schemeClr val="lt1"/>
            </a:solidFill>
          </a:ln>
          <a:effectLst/>
        </c:spPr>
      </c:pivotFmt>
      <c:pivotFmt>
        <c:idx val="32"/>
        <c:spPr>
          <a:solidFill>
            <a:srgbClr val="866B34"/>
          </a:solidFill>
          <a:ln w="19050">
            <a:solidFill>
              <a:schemeClr val="lt1"/>
            </a:solidFill>
          </a:ln>
          <a:effectLst/>
        </c:spPr>
      </c:pivotFmt>
      <c:pivotFmt>
        <c:idx val="33"/>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rgbClr val="05353F"/>
          </a:solidFill>
          <a:ln w="19050">
            <a:solidFill>
              <a:schemeClr val="lt1"/>
            </a:solidFill>
          </a:ln>
          <a:effectLst/>
        </c:spPr>
      </c:pivotFmt>
      <c:pivotFmt>
        <c:idx val="35"/>
        <c:spPr>
          <a:solidFill>
            <a:srgbClr val="866B34"/>
          </a:solidFill>
          <a:ln w="19050">
            <a:solidFill>
              <a:schemeClr val="lt1"/>
            </a:solidFill>
          </a:ln>
          <a:effectLst/>
        </c:spPr>
      </c:pivotFmt>
      <c:pivotFmt>
        <c:idx val="36"/>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7"/>
        <c:spPr>
          <a:gradFill>
            <a:gsLst>
              <a:gs pos="0">
                <a:srgbClr val="4472C4">
                  <a:lumMod val="40000"/>
                  <a:lumOff val="60000"/>
                </a:srgbClr>
              </a:gs>
              <a:gs pos="74000">
                <a:srgbClr val="05353F"/>
              </a:gs>
              <a:gs pos="83000">
                <a:srgbClr val="05353F"/>
              </a:gs>
              <a:gs pos="100000">
                <a:srgbClr val="05353F"/>
              </a:gs>
            </a:gsLst>
            <a:lin ang="2700000" scaled="1"/>
          </a:gradFill>
          <a:ln w="19050">
            <a:solidFill>
              <a:schemeClr val="lt1"/>
            </a:solidFill>
          </a:ln>
          <a:effectLst/>
        </c:spPr>
      </c:pivotFmt>
      <c:pivotFmt>
        <c:idx val="38"/>
        <c:spPr>
          <a:gradFill>
            <a:gsLst>
              <a:gs pos="0">
                <a:srgbClr val="FFC000">
                  <a:lumMod val="40000"/>
                  <a:lumOff val="60000"/>
                </a:srgbClr>
              </a:gs>
              <a:gs pos="74000">
                <a:srgbClr val="866B34"/>
              </a:gs>
              <a:gs pos="83000">
                <a:srgbClr val="866B34"/>
              </a:gs>
              <a:gs pos="100000">
                <a:srgbClr val="866B34"/>
              </a:gs>
            </a:gsLst>
            <a:lin ang="2700000" scaled="1"/>
          </a:gradFill>
          <a:ln w="19050">
            <a:solidFill>
              <a:schemeClr val="lt1"/>
            </a:solidFill>
          </a:ln>
          <a:effectLst/>
        </c:spPr>
      </c:pivotFmt>
    </c:pivotFmts>
    <c:plotArea>
      <c:layout/>
      <c:pieChart>
        <c:varyColors val="1"/>
        <c:ser>
          <c:idx val="0"/>
          <c:order val="0"/>
          <c:tx>
            <c:strRef>
              <c:f>'Pivot Tables &amp; Charts'!$B$98</c:f>
              <c:strCache>
                <c:ptCount val="1"/>
                <c:pt idx="0">
                  <c:v>Total</c:v>
                </c:pt>
              </c:strCache>
            </c:strRef>
          </c:tx>
          <c:dPt>
            <c:idx val="0"/>
            <c:bubble3D val="0"/>
            <c:spPr>
              <a:gradFill>
                <a:gsLst>
                  <a:gs pos="0">
                    <a:srgbClr val="4472C4">
                      <a:lumMod val="40000"/>
                      <a:lumOff val="60000"/>
                    </a:srgbClr>
                  </a:gs>
                  <a:gs pos="74000">
                    <a:srgbClr val="05353F"/>
                  </a:gs>
                  <a:gs pos="83000">
                    <a:srgbClr val="05353F"/>
                  </a:gs>
                  <a:gs pos="100000">
                    <a:srgbClr val="05353F"/>
                  </a:gs>
                </a:gsLst>
                <a:lin ang="2700000" scaled="1"/>
              </a:gradFill>
              <a:ln w="19050">
                <a:solidFill>
                  <a:schemeClr val="lt1"/>
                </a:solidFill>
              </a:ln>
              <a:effectLst/>
            </c:spPr>
            <c:extLst>
              <c:ext xmlns:c16="http://schemas.microsoft.com/office/drawing/2014/chart" uri="{C3380CC4-5D6E-409C-BE32-E72D297353CC}">
                <c16:uniqueId val="{00000001-8603-4ECC-8AF4-4219739C3AB3}"/>
              </c:ext>
            </c:extLst>
          </c:dPt>
          <c:dPt>
            <c:idx val="1"/>
            <c:bubble3D val="0"/>
            <c:spPr>
              <a:gradFill>
                <a:gsLst>
                  <a:gs pos="0">
                    <a:srgbClr val="FFC000">
                      <a:lumMod val="40000"/>
                      <a:lumOff val="60000"/>
                    </a:srgbClr>
                  </a:gs>
                  <a:gs pos="74000">
                    <a:srgbClr val="866B34"/>
                  </a:gs>
                  <a:gs pos="83000">
                    <a:srgbClr val="866B34"/>
                  </a:gs>
                  <a:gs pos="100000">
                    <a:srgbClr val="866B34"/>
                  </a:gs>
                </a:gsLst>
                <a:lin ang="2700000" scaled="1"/>
              </a:gradFill>
              <a:ln w="19050">
                <a:solidFill>
                  <a:schemeClr val="lt1"/>
                </a:solidFill>
              </a:ln>
              <a:effectLst/>
            </c:spPr>
            <c:extLst>
              <c:ext xmlns:c16="http://schemas.microsoft.com/office/drawing/2014/chart" uri="{C3380CC4-5D6E-409C-BE32-E72D297353CC}">
                <c16:uniqueId val="{00000003-8603-4ECC-8AF4-4219739C3AB3}"/>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 &amp; Charts'!$A$99:$A$101</c:f>
              <c:strCache>
                <c:ptCount val="2"/>
                <c:pt idx="0">
                  <c:v>Male</c:v>
                </c:pt>
                <c:pt idx="1">
                  <c:v>Female</c:v>
                </c:pt>
              </c:strCache>
            </c:strRef>
          </c:cat>
          <c:val>
            <c:numRef>
              <c:f>'Pivot Tables &amp; Charts'!$B$99:$B$101</c:f>
              <c:numCache>
                <c:formatCode>0.0%</c:formatCode>
                <c:ptCount val="2"/>
                <c:pt idx="0">
                  <c:v>0.65166908563134973</c:v>
                </c:pt>
                <c:pt idx="1">
                  <c:v>0.34833091436865021</c:v>
                </c:pt>
              </c:numCache>
            </c:numRef>
          </c:val>
          <c:extLst>
            <c:ext xmlns:c16="http://schemas.microsoft.com/office/drawing/2014/chart" uri="{C3380CC4-5D6E-409C-BE32-E72D297353CC}">
              <c16:uniqueId val="{00000004-8603-4ECC-8AF4-4219739C3AB3}"/>
            </c:ext>
          </c:extLst>
        </c:ser>
        <c:dLbls>
          <c:dLblPos val="bestFit"/>
          <c:showLegendKey val="0"/>
          <c:showVal val="1"/>
          <c:showCatName val="0"/>
          <c:showSerName val="0"/>
          <c:showPercent val="0"/>
          <c:showBubbleSize val="0"/>
          <c:showLeaderLines val="0"/>
        </c:dLbls>
        <c:firstSliceAng val="0"/>
      </c:pieChart>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[Employees_Cleaning.xlsx]Pivot Tables &amp; Charts!PivotTable11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Employees by Years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535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535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535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535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535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535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535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535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Charts'!$B$152</c:f>
              <c:strCache>
                <c:ptCount val="1"/>
                <c:pt idx="0">
                  <c:v>Total</c:v>
                </c:pt>
              </c:strCache>
            </c:strRef>
          </c:tx>
          <c:spPr>
            <a:ln w="28575" cap="rnd">
              <a:solidFill>
                <a:srgbClr val="05353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Charts'!$A$153:$A$158</c:f>
              <c:strCache>
                <c:ptCount val="5"/>
                <c:pt idx="0">
                  <c:v>2016</c:v>
                </c:pt>
                <c:pt idx="1">
                  <c:v>2017</c:v>
                </c:pt>
                <c:pt idx="2">
                  <c:v>2018</c:v>
                </c:pt>
                <c:pt idx="3">
                  <c:v>2019</c:v>
                </c:pt>
                <c:pt idx="4">
                  <c:v>2020</c:v>
                </c:pt>
              </c:strCache>
            </c:strRef>
          </c:cat>
          <c:val>
            <c:numRef>
              <c:f>'Pivot Tables &amp; Charts'!$B$153:$B$158</c:f>
              <c:numCache>
                <c:formatCode>0</c:formatCode>
                <c:ptCount val="5"/>
                <c:pt idx="0">
                  <c:v>51</c:v>
                </c:pt>
                <c:pt idx="1">
                  <c:v>77</c:v>
                </c:pt>
                <c:pt idx="2">
                  <c:v>151</c:v>
                </c:pt>
                <c:pt idx="3">
                  <c:v>248</c:v>
                </c:pt>
                <c:pt idx="4">
                  <c:v>162</c:v>
                </c:pt>
              </c:numCache>
            </c:numRef>
          </c:val>
          <c:smooth val="0"/>
          <c:extLst>
            <c:ext xmlns:c16="http://schemas.microsoft.com/office/drawing/2014/chart" uri="{C3380CC4-5D6E-409C-BE32-E72D297353CC}">
              <c16:uniqueId val="{00000000-8FD1-4323-A31C-CB808836329F}"/>
            </c:ext>
          </c:extLst>
        </c:ser>
        <c:dLbls>
          <c:dLblPos val="t"/>
          <c:showLegendKey val="0"/>
          <c:showVal val="1"/>
          <c:showCatName val="0"/>
          <c:showSerName val="0"/>
          <c:showPercent val="0"/>
          <c:showBubbleSize val="0"/>
        </c:dLbls>
        <c:smooth val="0"/>
        <c:axId val="1213259184"/>
        <c:axId val="1315178208"/>
      </c:lineChart>
      <c:catAx>
        <c:axId val="121325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78208"/>
        <c:crosses val="autoZero"/>
        <c:auto val="1"/>
        <c:lblAlgn val="ctr"/>
        <c:lblOffset val="100"/>
        <c:noMultiLvlLbl val="0"/>
      </c:catAx>
      <c:valAx>
        <c:axId val="1315178208"/>
        <c:scaling>
          <c:orientation val="minMax"/>
        </c:scaling>
        <c:delete val="1"/>
        <c:axPos val="l"/>
        <c:numFmt formatCode="0" sourceLinked="1"/>
        <c:majorTickMark val="none"/>
        <c:minorTickMark val="none"/>
        <c:tickLblPos val="nextTo"/>
        <c:crossAx val="1213259184"/>
        <c:crosses val="autoZero"/>
        <c:crossBetween val="between"/>
      </c:valAx>
      <c:spPr>
        <a:solidFill>
          <a:schemeClr val="bg1"/>
        </a:solidFill>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 of Employees by Department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53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535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Lit>
          </c:cat>
          <c:val>
            <c:numLit>
              <c:formatCode>0</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Lit>
          </c:val>
          <c:extLst>
            <c:ext xmlns:c16="http://schemas.microsoft.com/office/drawing/2014/chart" uri="{C3380CC4-5D6E-409C-BE32-E72D297353CC}">
              <c16:uniqueId val="{00000000-47BC-4810-8D1E-3CD96912D09C}"/>
            </c:ext>
          </c:extLst>
        </c:ser>
        <c:dLbls>
          <c:dLblPos val="outEnd"/>
          <c:showLegendKey val="0"/>
          <c:showVal val="1"/>
          <c:showCatName val="0"/>
          <c:showSerName val="0"/>
          <c:showPercent val="0"/>
          <c:showBubbleSize val="0"/>
        </c:dLbls>
        <c:gapWidth val="219"/>
        <c:axId val="1365475568"/>
        <c:axId val="1365476048"/>
      </c:barChart>
      <c:catAx>
        <c:axId val="1365475568"/>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476048"/>
        <c:crosses val="autoZero"/>
        <c:auto val="1"/>
        <c:lblAlgn val="ctr"/>
        <c:lblOffset val="100"/>
        <c:noMultiLvlLbl val="0"/>
        <c:extLst>
          <c:ext xmlns:c15="http://schemas.microsoft.com/office/drawing/2012/chart" uri="{F40574EE-89B7-4290-83BB-5DA773EAF853}">
            <c15:numFmt c:formatCode="General" c:sourceLinked="1"/>
          </c:ext>
        </c:extLst>
      </c:catAx>
      <c:valAx>
        <c:axId val="1365476048"/>
        <c:scaling>
          <c:orientation val="minMax"/>
        </c:scaling>
        <c:delete val="1"/>
        <c:axPos val="b"/>
        <c:numFmt formatCode="0" sourceLinked="0"/>
        <c:majorTickMark val="none"/>
        <c:minorTickMark val="none"/>
        <c:tickLblPos val="nextTo"/>
        <c:crossAx val="1365475568"/>
        <c:crosses val="autoZero"/>
        <c:crossBetween val="between"/>
        <c:extLst>
          <c:ext xmlns:c15="http://schemas.microsoft.com/office/drawing/2012/chart" uri="{F40574EE-89B7-4290-83BB-5DA773EAF853}">
            <c15:numFmt c:formatCode="0" c:sourceLinked="1"/>
          </c:ext>
        </c:extLst>
      </c:valAx>
      <c:spPr>
        <a:solidFill>
          <a:schemeClr val="bg1"/>
        </a:solidFill>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[Employees_Cleaning.xlsx]PivotChartTable17</c15:name>
        <c15:fmtId val="13"/>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 of</a:t>
            </a:r>
            <a:r>
              <a:rPr lang="en-US" b="1" baseline="0"/>
              <a:t> Employees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Lit>
          </c:cat>
          <c:val>
            <c:numLit>
              <c:formatCode>0</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Lit>
          </c:val>
          <c:extLst>
            <c:ext xmlns:c16="http://schemas.microsoft.com/office/drawing/2014/chart" uri="{C3380CC4-5D6E-409C-BE32-E72D297353CC}">
              <c16:uniqueId val="{00000000-FA50-4241-B10C-D8903B9CD173}"/>
            </c:ext>
          </c:extLst>
        </c:ser>
        <c:dLbls>
          <c:dLblPos val="outEnd"/>
          <c:showLegendKey val="0"/>
          <c:showVal val="1"/>
          <c:showCatName val="0"/>
          <c:showSerName val="0"/>
          <c:showPercent val="0"/>
          <c:showBubbleSize val="0"/>
        </c:dLbls>
        <c:gapWidth val="219"/>
        <c:axId val="1365475568"/>
        <c:axId val="1365476048"/>
      </c:barChart>
      <c:catAx>
        <c:axId val="1365475568"/>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476048"/>
        <c:crosses val="autoZero"/>
        <c:auto val="1"/>
        <c:lblAlgn val="ctr"/>
        <c:lblOffset val="100"/>
        <c:noMultiLvlLbl val="0"/>
        <c:extLst>
          <c:ext xmlns:c15="http://schemas.microsoft.com/office/drawing/2012/chart" uri="{F40574EE-89B7-4290-83BB-5DA773EAF853}">
            <c15:numFmt c:formatCode="General" c:sourceLinked="1"/>
          </c:ext>
        </c:extLst>
      </c:catAx>
      <c:valAx>
        <c:axId val="1365476048"/>
        <c:scaling>
          <c:orientation val="minMax"/>
        </c:scaling>
        <c:delete val="1"/>
        <c:axPos val="b"/>
        <c:numFmt formatCode="0" sourceLinked="0"/>
        <c:majorTickMark val="none"/>
        <c:minorTickMark val="none"/>
        <c:tickLblPos val="nextTo"/>
        <c:crossAx val="1365475568"/>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[Employees_Cleaning.xlsx]PivotChartTable1</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[Employees_Cleaning.xlsx]Pivot Tables &amp; 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Employees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Charts'!$B$152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Charts'!$A$153:$A$158</c:f>
              <c:strCache>
                <c:ptCount val="5"/>
                <c:pt idx="0">
                  <c:v>2016</c:v>
                </c:pt>
                <c:pt idx="1">
                  <c:v>2017</c:v>
                </c:pt>
                <c:pt idx="2">
                  <c:v>2018</c:v>
                </c:pt>
                <c:pt idx="3">
                  <c:v>2019</c:v>
                </c:pt>
                <c:pt idx="4">
                  <c:v>2020</c:v>
                </c:pt>
              </c:strCache>
            </c:strRef>
          </c:cat>
          <c:val>
            <c:numRef>
              <c:f>'Pivot Tables &amp; Charts'!$B$153:$B$158</c:f>
              <c:numCache>
                <c:formatCode>0</c:formatCode>
                <c:ptCount val="5"/>
                <c:pt idx="0">
                  <c:v>51</c:v>
                </c:pt>
                <c:pt idx="1">
                  <c:v>77</c:v>
                </c:pt>
                <c:pt idx="2">
                  <c:v>151</c:v>
                </c:pt>
                <c:pt idx="3">
                  <c:v>248</c:v>
                </c:pt>
                <c:pt idx="4">
                  <c:v>162</c:v>
                </c:pt>
              </c:numCache>
            </c:numRef>
          </c:val>
          <c:smooth val="0"/>
          <c:extLst>
            <c:ext xmlns:c16="http://schemas.microsoft.com/office/drawing/2014/chart" uri="{C3380CC4-5D6E-409C-BE32-E72D297353CC}">
              <c16:uniqueId val="{00000000-027A-4B47-B11E-364CE8E4A6BD}"/>
            </c:ext>
          </c:extLst>
        </c:ser>
        <c:dLbls>
          <c:dLblPos val="t"/>
          <c:showLegendKey val="0"/>
          <c:showVal val="1"/>
          <c:showCatName val="0"/>
          <c:showSerName val="0"/>
          <c:showPercent val="0"/>
          <c:showBubbleSize val="0"/>
        </c:dLbls>
        <c:smooth val="0"/>
        <c:axId val="1213259184"/>
        <c:axId val="1315178208"/>
      </c:lineChart>
      <c:catAx>
        <c:axId val="121325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78208"/>
        <c:crosses val="autoZero"/>
        <c:auto val="1"/>
        <c:lblAlgn val="ctr"/>
        <c:lblOffset val="100"/>
        <c:noMultiLvlLbl val="0"/>
      </c:catAx>
      <c:valAx>
        <c:axId val="1315178208"/>
        <c:scaling>
          <c:orientation val="minMax"/>
        </c:scaling>
        <c:delete val="1"/>
        <c:axPos val="l"/>
        <c:numFmt formatCode="0" sourceLinked="1"/>
        <c:majorTickMark val="none"/>
        <c:minorTickMark val="none"/>
        <c:tickLblPos val="nextTo"/>
        <c:crossAx val="121325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[Employees_Cleaning.xlsx]Pivot Tables &amp; Charts!PivotTable12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 &amp; Charts'!$B$98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97-418E-A3FE-EE27999CCE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97-418E-A3FE-EE27999CCE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&amp; Charts'!$A$99:$A$101</c:f>
              <c:strCache>
                <c:ptCount val="2"/>
                <c:pt idx="0">
                  <c:v>Male</c:v>
                </c:pt>
                <c:pt idx="1">
                  <c:v>Female</c:v>
                </c:pt>
              </c:strCache>
            </c:strRef>
          </c:cat>
          <c:val>
            <c:numRef>
              <c:f>'Pivot Tables &amp; Charts'!$B$99:$B$101</c:f>
              <c:numCache>
                <c:formatCode>0.0%</c:formatCode>
                <c:ptCount val="2"/>
                <c:pt idx="0">
                  <c:v>0.65166908563134973</c:v>
                </c:pt>
                <c:pt idx="1">
                  <c:v>0.34833091436865021</c:v>
                </c:pt>
              </c:numCache>
            </c:numRef>
          </c:val>
          <c:extLst>
            <c:ext xmlns:c16="http://schemas.microsoft.com/office/drawing/2014/chart" uri="{C3380CC4-5D6E-409C-BE32-E72D297353CC}">
              <c16:uniqueId val="{00000000-3220-4A15-9513-685D48AABA0C}"/>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Leaves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Lit>
          </c:cat>
          <c:val>
            <c:numLit>
              <c:formatCode>0</c:formatCode>
              <c:ptCount val="20"/>
              <c:pt idx="0">
                <c:v>211</c:v>
              </c:pt>
              <c:pt idx="1">
                <c:v>38</c:v>
              </c:pt>
              <c:pt idx="2">
                <c:v>29</c:v>
              </c:pt>
              <c:pt idx="3">
                <c:v>29</c:v>
              </c:pt>
              <c:pt idx="4">
                <c:v>170</c:v>
              </c:pt>
              <c:pt idx="5">
                <c:v>11</c:v>
              </c:pt>
              <c:pt idx="6">
                <c:v>18</c:v>
              </c:pt>
              <c:pt idx="7">
                <c:v>74</c:v>
              </c:pt>
              <c:pt idx="8">
                <c:v>17</c:v>
              </c:pt>
              <c:pt idx="9">
                <c:v>300</c:v>
              </c:pt>
              <c:pt idx="10">
                <c:v>17</c:v>
              </c:pt>
              <c:pt idx="11">
                <c:v>96</c:v>
              </c:pt>
              <c:pt idx="12">
                <c:v>56</c:v>
              </c:pt>
              <c:pt idx="13">
                <c:v>38</c:v>
              </c:pt>
              <c:pt idx="14">
                <c:v>205</c:v>
              </c:pt>
              <c:pt idx="15">
                <c:v>204</c:v>
              </c:pt>
              <c:pt idx="16">
                <c:v>31</c:v>
              </c:pt>
              <c:pt idx="17">
                <c:v>7</c:v>
              </c:pt>
              <c:pt idx="18">
                <c:v>36</c:v>
              </c:pt>
              <c:pt idx="19">
                <c:v>45</c:v>
              </c:pt>
            </c:numLit>
          </c:val>
          <c:extLst>
            <c:ext xmlns:c16="http://schemas.microsoft.com/office/drawing/2014/chart" uri="{C3380CC4-5D6E-409C-BE32-E72D297353CC}">
              <c16:uniqueId val="{00000000-D4FA-4CA3-AF2C-020324E8602A}"/>
            </c:ext>
          </c:extLst>
        </c:ser>
        <c:dLbls>
          <c:dLblPos val="outEnd"/>
          <c:showLegendKey val="0"/>
          <c:showVal val="1"/>
          <c:showCatName val="0"/>
          <c:showSerName val="0"/>
          <c:showPercent val="0"/>
          <c:showBubbleSize val="0"/>
        </c:dLbls>
        <c:gapWidth val="219"/>
        <c:axId val="84935840"/>
        <c:axId val="84941600"/>
      </c:barChart>
      <c:catAx>
        <c:axId val="8493584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1600"/>
        <c:crosses val="autoZero"/>
        <c:auto val="1"/>
        <c:lblAlgn val="ctr"/>
        <c:lblOffset val="100"/>
        <c:noMultiLvlLbl val="0"/>
        <c:extLst>
          <c:ext xmlns:c15="http://schemas.microsoft.com/office/drawing/2012/chart" uri="{F40574EE-89B7-4290-83BB-5DA773EAF853}">
            <c15:numFmt c:formatCode="General" c:sourceLinked="1"/>
          </c:ext>
        </c:extLst>
      </c:catAx>
      <c:valAx>
        <c:axId val="84941600"/>
        <c:scaling>
          <c:orientation val="minMax"/>
        </c:scaling>
        <c:delete val="1"/>
        <c:axPos val="b"/>
        <c:numFmt formatCode="0" sourceLinked="0"/>
        <c:majorTickMark val="none"/>
        <c:minorTickMark val="none"/>
        <c:tickLblPos val="nextTo"/>
        <c:crossAx val="84935840"/>
        <c:crosses val="autoZero"/>
        <c:crossBetween val="between"/>
        <c:extLst>
          <c:ext xmlns:c15="http://schemas.microsoft.com/office/drawing/2012/chart" uri="{F40574EE-89B7-4290-83BB-5DA773EAF853}">
            <c15:numFmt c:formatCode="0" c:sourceLinked="1"/>
          </c:ext>
        </c:extLs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[Employees_Cleaning.xlsx]PivotChartTable3</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Percentage Employee by Salary</a:t>
            </a:r>
            <a:r>
              <a:rPr lang="en-US" b="1" baseline="0"/>
              <a:t> Classification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6583-4899-AFA2-E442819AD0D9}"/>
              </c:ext>
            </c:extLst>
          </c:dPt>
          <c:dPt>
            <c:idx val="1"/>
            <c:bubble3D val="0"/>
            <c:spPr>
              <a:solidFill>
                <a:schemeClr val="accent2"/>
              </a:solidFill>
              <a:ln>
                <a:noFill/>
              </a:ln>
              <a:effectLst/>
            </c:spPr>
            <c:extLst>
              <c:ext xmlns:c16="http://schemas.microsoft.com/office/drawing/2014/chart" uri="{C3380CC4-5D6E-409C-BE32-E72D297353CC}">
                <c16:uniqueId val="{00000003-6583-4899-AFA2-E442819AD0D9}"/>
              </c:ext>
            </c:extLst>
          </c:dPt>
          <c:dPt>
            <c:idx val="2"/>
            <c:bubble3D val="0"/>
            <c:spPr>
              <a:solidFill>
                <a:schemeClr val="accent3"/>
              </a:solidFill>
              <a:ln>
                <a:noFill/>
              </a:ln>
              <a:effectLst/>
            </c:spPr>
            <c:extLst>
              <c:ext xmlns:c16="http://schemas.microsoft.com/office/drawing/2014/chart" uri="{C3380CC4-5D6E-409C-BE32-E72D297353CC}">
                <c16:uniqueId val="{00000005-6583-4899-AFA2-E442819AD0D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High</c:v>
              </c:pt>
              <c:pt idx="1">
                <c:v>Low</c:v>
              </c:pt>
              <c:pt idx="2">
                <c:v>Medium</c:v>
              </c:pt>
            </c:strLit>
          </c:cat>
          <c:val>
            <c:numLit>
              <c:formatCode>0</c:formatCode>
              <c:ptCount val="3"/>
              <c:pt idx="0">
                <c:v>224</c:v>
              </c:pt>
              <c:pt idx="1">
                <c:v>194</c:v>
              </c:pt>
              <c:pt idx="2">
                <c:v>271</c:v>
              </c:pt>
            </c:numLit>
          </c:val>
          <c:extLst>
            <c:ext xmlns:c16="http://schemas.microsoft.com/office/drawing/2014/chart" uri="{C3380CC4-5D6E-409C-BE32-E72D297353CC}">
              <c16:uniqueId val="{0000000A-661E-4524-BF87-2874457B27E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[Employees_Cleaning.xlsx]PivotChartTable4</c15:name>
        <c15:fmtId val="0"/>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[Employees_Cleaning.xlsx]Pivot Tables &amp; Charts!PivotTable22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a:t>
            </a:r>
            <a:r>
              <a:rPr lang="en-US" b="1" baseline="0"/>
              <a:t> Average Annual Salary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51337876266037"/>
          <c:y val="0.22982005121916302"/>
          <c:w val="0.64248662123733957"/>
          <c:h val="0.76869457790395312"/>
        </c:manualLayout>
      </c:layout>
      <c:barChart>
        <c:barDir val="bar"/>
        <c:grouping val="clustered"/>
        <c:varyColors val="0"/>
        <c:ser>
          <c:idx val="0"/>
          <c:order val="0"/>
          <c:tx>
            <c:strRef>
              <c:f>'Pivot Tables &amp; Charts'!$B$45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Charts'!$A$46:$A$56</c:f>
              <c:strCache>
                <c:ptCount val="10"/>
                <c:pt idx="0">
                  <c:v>Marketing</c:v>
                </c:pt>
                <c:pt idx="1">
                  <c:v>Green Building</c:v>
                </c:pt>
                <c:pt idx="2">
                  <c:v>Quality Assurance</c:v>
                </c:pt>
                <c:pt idx="3">
                  <c:v>Research/Development</c:v>
                </c:pt>
                <c:pt idx="4">
                  <c:v>IT</c:v>
                </c:pt>
                <c:pt idx="5">
                  <c:v>Major Mfg Projects</c:v>
                </c:pt>
                <c:pt idx="6">
                  <c:v>Facilities/Engineering</c:v>
                </c:pt>
                <c:pt idx="7">
                  <c:v>Training</c:v>
                </c:pt>
                <c:pt idx="8">
                  <c:v>Environmental Compliance</c:v>
                </c:pt>
                <c:pt idx="9">
                  <c:v>Human Resources</c:v>
                </c:pt>
              </c:strCache>
            </c:strRef>
          </c:cat>
          <c:val>
            <c:numRef>
              <c:f>'Pivot Tables &amp; Charts'!$B$46:$B$56</c:f>
              <c:numCache>
                <c:formatCode>#,##0</c:formatCode>
                <c:ptCount val="10"/>
                <c:pt idx="0">
                  <c:v>24733.5</c:v>
                </c:pt>
                <c:pt idx="1">
                  <c:v>24994.5</c:v>
                </c:pt>
                <c:pt idx="2">
                  <c:v>25007.104477611942</c:v>
                </c:pt>
                <c:pt idx="3">
                  <c:v>25183.200000000001</c:v>
                </c:pt>
                <c:pt idx="4">
                  <c:v>25374.3</c:v>
                </c:pt>
                <c:pt idx="5">
                  <c:v>26908.5</c:v>
                </c:pt>
                <c:pt idx="6">
                  <c:v>27423.310344827587</c:v>
                </c:pt>
                <c:pt idx="7">
                  <c:v>28341</c:v>
                </c:pt>
                <c:pt idx="8">
                  <c:v>30097.846153846152</c:v>
                </c:pt>
                <c:pt idx="9">
                  <c:v>30670.285714285714</c:v>
                </c:pt>
              </c:numCache>
            </c:numRef>
          </c:val>
          <c:extLst>
            <c:ext xmlns:c16="http://schemas.microsoft.com/office/drawing/2014/chart" uri="{C3380CC4-5D6E-409C-BE32-E72D297353CC}">
              <c16:uniqueId val="{00000000-96E6-4193-8E57-ABC209C13ABB}"/>
            </c:ext>
          </c:extLst>
        </c:ser>
        <c:dLbls>
          <c:dLblPos val="outEnd"/>
          <c:showLegendKey val="0"/>
          <c:showVal val="1"/>
          <c:showCatName val="0"/>
          <c:showSerName val="0"/>
          <c:showPercent val="0"/>
          <c:showBubbleSize val="0"/>
        </c:dLbls>
        <c:gapWidth val="219"/>
        <c:axId val="84931040"/>
        <c:axId val="84929120"/>
      </c:barChart>
      <c:catAx>
        <c:axId val="84931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29120"/>
        <c:crosses val="autoZero"/>
        <c:auto val="1"/>
        <c:lblAlgn val="ctr"/>
        <c:lblOffset val="100"/>
        <c:noMultiLvlLbl val="0"/>
      </c:catAx>
      <c:valAx>
        <c:axId val="84929120"/>
        <c:scaling>
          <c:orientation val="minMax"/>
        </c:scaling>
        <c:delete val="1"/>
        <c:axPos val="b"/>
        <c:numFmt formatCode="#,##0" sourceLinked="1"/>
        <c:majorTickMark val="out"/>
        <c:minorTickMark val="none"/>
        <c:tickLblPos val="nextTo"/>
        <c:crossAx val="8493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Job Rate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Lit>
          </c:cat>
          <c:val>
            <c:numLit>
              <c:formatCode>0.00</c:formatCode>
              <c:ptCount val="20"/>
              <c:pt idx="0">
                <c:v>3.6904761904761907</c:v>
              </c:pt>
              <c:pt idx="1">
                <c:v>3.7894736842105261</c:v>
              </c:pt>
              <c:pt idx="2">
                <c:v>3.0769230769230771</c:v>
              </c:pt>
              <c:pt idx="3">
                <c:v>4.2222222222222223</c:v>
              </c:pt>
              <c:pt idx="4">
                <c:v>3.6206896551724137</c:v>
              </c:pt>
              <c:pt idx="5">
                <c:v>2.875</c:v>
              </c:pt>
              <c:pt idx="6">
                <c:v>4.3571428571428568</c:v>
              </c:pt>
              <c:pt idx="7">
                <c:v>3.6</c:v>
              </c:pt>
              <c:pt idx="8">
                <c:v>4.25</c:v>
              </c:pt>
              <c:pt idx="9">
                <c:v>3.5357142857142856</c:v>
              </c:pt>
              <c:pt idx="10">
                <c:v>4.0999999999999996</c:v>
              </c:pt>
              <c:pt idx="11">
                <c:v>3.4270833333333335</c:v>
              </c:pt>
              <c:pt idx="12">
                <c:v>3.4852941176470589</c:v>
              </c:pt>
              <c:pt idx="13">
                <c:v>3.7857142857142856</c:v>
              </c:pt>
              <c:pt idx="14">
                <c:v>3.5746268656716418</c:v>
              </c:pt>
              <c:pt idx="15">
                <c:v>3.7640449438202248</c:v>
              </c:pt>
              <c:pt idx="16">
                <c:v>3.3</c:v>
              </c:pt>
              <c:pt idx="17">
                <c:v>3</c:v>
              </c:pt>
              <c:pt idx="18">
                <c:v>3.2749999999999999</c:v>
              </c:pt>
              <c:pt idx="19">
                <c:v>2.90625</c:v>
              </c:pt>
            </c:numLit>
          </c:val>
          <c:extLst>
            <c:ext xmlns:c16="http://schemas.microsoft.com/office/drawing/2014/chart" uri="{C3380CC4-5D6E-409C-BE32-E72D297353CC}">
              <c16:uniqueId val="{00000000-17FD-4878-9683-7B6FF2E26909}"/>
            </c:ext>
          </c:extLst>
        </c:ser>
        <c:dLbls>
          <c:dLblPos val="outEnd"/>
          <c:showLegendKey val="0"/>
          <c:showVal val="1"/>
          <c:showCatName val="0"/>
          <c:showSerName val="0"/>
          <c:showPercent val="0"/>
          <c:showBubbleSize val="0"/>
        </c:dLbls>
        <c:gapWidth val="219"/>
        <c:axId val="84921920"/>
        <c:axId val="84941120"/>
      </c:barChart>
      <c:catAx>
        <c:axId val="8492192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1120"/>
        <c:crosses val="autoZero"/>
        <c:auto val="1"/>
        <c:lblAlgn val="ctr"/>
        <c:lblOffset val="100"/>
        <c:noMultiLvlLbl val="0"/>
        <c:extLst>
          <c:ext xmlns:c15="http://schemas.microsoft.com/office/drawing/2012/chart" uri="{F40574EE-89B7-4290-83BB-5DA773EAF853}">
            <c15:numFmt c:formatCode="General" c:sourceLinked="1"/>
          </c:ext>
        </c:extLst>
      </c:catAx>
      <c:valAx>
        <c:axId val="84941120"/>
        <c:scaling>
          <c:orientation val="minMax"/>
        </c:scaling>
        <c:delete val="1"/>
        <c:axPos val="b"/>
        <c:numFmt formatCode="0.00" sourceLinked="0"/>
        <c:majorTickMark val="none"/>
        <c:minorTickMark val="none"/>
        <c:tickLblPos val="nextTo"/>
        <c:crossAx val="84921920"/>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[Employees_Cleaning.xlsx]PivotChartTable6</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Overtime</a:t>
            </a:r>
            <a:r>
              <a:rPr lang="en-US" b="1" baseline="0"/>
              <a:t> Hours</a:t>
            </a:r>
            <a:r>
              <a:rPr lang="en-US" b="1"/>
              <a:t> by Job</a:t>
            </a:r>
            <a:r>
              <a:rPr lang="en-US" b="1" baseline="0"/>
              <a:t> Rate Category</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c:v>
              </c:pt>
              <c:pt idx="1">
                <c:v>Low</c:v>
              </c:pt>
              <c:pt idx="2">
                <c:v>Medium</c:v>
              </c:pt>
            </c:strLit>
          </c:cat>
          <c:val>
            <c:numLit>
              <c:formatCode>0</c:formatCode>
              <c:ptCount val="3"/>
              <c:pt idx="0">
                <c:v>4594</c:v>
              </c:pt>
              <c:pt idx="1">
                <c:v>1886</c:v>
              </c:pt>
              <c:pt idx="2">
                <c:v>2961</c:v>
              </c:pt>
            </c:numLit>
          </c:val>
          <c:extLst>
            <c:ext xmlns:c16="http://schemas.microsoft.com/office/drawing/2014/chart" uri="{C3380CC4-5D6E-409C-BE32-E72D297353CC}">
              <c16:uniqueId val="{00000000-C832-4CF9-A872-637C9F560361}"/>
            </c:ext>
          </c:extLst>
        </c:ser>
        <c:dLbls>
          <c:dLblPos val="outEnd"/>
          <c:showLegendKey val="0"/>
          <c:showVal val="1"/>
          <c:showCatName val="0"/>
          <c:showSerName val="0"/>
          <c:showPercent val="0"/>
          <c:showBubbleSize val="0"/>
        </c:dLbls>
        <c:gapWidth val="219"/>
        <c:overlap val="-27"/>
        <c:axId val="84921440"/>
        <c:axId val="84924320"/>
      </c:barChart>
      <c:catAx>
        <c:axId val="8492144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24320"/>
        <c:crosses val="autoZero"/>
        <c:auto val="1"/>
        <c:lblAlgn val="ctr"/>
        <c:lblOffset val="100"/>
        <c:noMultiLvlLbl val="0"/>
        <c:extLst>
          <c:ext xmlns:c15="http://schemas.microsoft.com/office/drawing/2012/chart" uri="{F40574EE-89B7-4290-83BB-5DA773EAF853}">
            <c15:numFmt c:formatCode="General" c:sourceLinked="1"/>
          </c:ext>
        </c:extLst>
      </c:catAx>
      <c:valAx>
        <c:axId val="84924320"/>
        <c:scaling>
          <c:orientation val="minMax"/>
        </c:scaling>
        <c:delete val="1"/>
        <c:axPos val="l"/>
        <c:numFmt formatCode="0" sourceLinked="0"/>
        <c:majorTickMark val="none"/>
        <c:minorTickMark val="none"/>
        <c:tickLblPos val="nextTo"/>
        <c:crossAx val="84921440"/>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[Employees_Cleaning.xlsx]PivotChartTable7</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Employee by Overtime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Overtime</c:v>
              </c:pt>
              <c:pt idx="1">
                <c:v>No Overtime</c:v>
              </c:pt>
              <c:pt idx="2">
                <c:v>Normal</c:v>
              </c:pt>
            </c:strLit>
          </c:cat>
          <c:val>
            <c:numLit>
              <c:formatCode>0</c:formatCode>
              <c:ptCount val="3"/>
              <c:pt idx="0">
                <c:v>128</c:v>
              </c:pt>
              <c:pt idx="1">
                <c:v>51</c:v>
              </c:pt>
              <c:pt idx="2">
                <c:v>510</c:v>
              </c:pt>
            </c:numLit>
          </c:val>
          <c:extLst>
            <c:ext xmlns:c16="http://schemas.microsoft.com/office/drawing/2014/chart" uri="{C3380CC4-5D6E-409C-BE32-E72D297353CC}">
              <c16:uniqueId val="{00000002-F9B1-402C-B239-1301BADB9985}"/>
            </c:ext>
          </c:extLst>
        </c:ser>
        <c:dLbls>
          <c:dLblPos val="outEnd"/>
          <c:showLegendKey val="0"/>
          <c:showVal val="1"/>
          <c:showCatName val="0"/>
          <c:showSerName val="0"/>
          <c:showPercent val="0"/>
          <c:showBubbleSize val="0"/>
        </c:dLbls>
        <c:gapWidth val="219"/>
        <c:overlap val="-27"/>
        <c:axId val="84944000"/>
        <c:axId val="84947840"/>
      </c:barChart>
      <c:catAx>
        <c:axId val="849440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7840"/>
        <c:crosses val="autoZero"/>
        <c:auto val="1"/>
        <c:lblAlgn val="ctr"/>
        <c:lblOffset val="100"/>
        <c:noMultiLvlLbl val="0"/>
        <c:extLst>
          <c:ext xmlns:c15="http://schemas.microsoft.com/office/drawing/2012/chart" uri="{F40574EE-89B7-4290-83BB-5DA773EAF853}">
            <c15:numFmt c:formatCode="General" c:sourceLinked="1"/>
          </c:ext>
        </c:extLst>
      </c:catAx>
      <c:valAx>
        <c:axId val="84947840"/>
        <c:scaling>
          <c:orientation val="minMax"/>
        </c:scaling>
        <c:delete val="1"/>
        <c:axPos val="l"/>
        <c:numFmt formatCode="0" sourceLinked="0"/>
        <c:majorTickMark val="none"/>
        <c:minorTickMark val="none"/>
        <c:tickLblPos val="nextTo"/>
        <c:crossAx val="84944000"/>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[Employees_Cleaning.xlsx]PivotChartTable8</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[Employees_Cleaning.xlsx]Pivot Tables &amp; Charts!PivotTable16</c:name>
    <c:fmtId val="1"/>
  </c:pivotSource>
  <c:chart>
    <c:title>
      <c:tx>
        <c:rich>
          <a:bodyPr rot="0" spcFirstLastPara="1" vertOverflow="ellipsis" vert="horz" wrap="square" anchor="ctr" anchorCtr="1"/>
          <a:lstStyle/>
          <a:p>
            <a:pPr>
              <a:defRPr sz="1400" b="0" i="0" u="none" strike="noStrike" kern="1200" spc="0" baseline="0">
                <a:solidFill>
                  <a:schemeClr val="tx1">
                    <a:alpha val="99000"/>
                  </a:schemeClr>
                </a:solidFill>
                <a:latin typeface="+mn-lt"/>
                <a:ea typeface="+mn-ea"/>
                <a:cs typeface="+mn-cs"/>
              </a:defRPr>
            </a:pPr>
            <a:r>
              <a:rPr lang="en-US" b="1"/>
              <a:t> Percentage Employee by Job Rate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alpha val="99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alpha val="99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 &amp; Charts'!$B$141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22-408F-A005-BB2FC085AF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22-408F-A005-BB2FC085AF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22-408F-A005-BB2FC085AF0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alpha val="99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&amp; Charts'!$A$142:$A$145</c:f>
              <c:strCache>
                <c:ptCount val="3"/>
                <c:pt idx="0">
                  <c:v>High</c:v>
                </c:pt>
                <c:pt idx="1">
                  <c:v>Medium</c:v>
                </c:pt>
                <c:pt idx="2">
                  <c:v>Low</c:v>
                </c:pt>
              </c:strCache>
            </c:strRef>
          </c:cat>
          <c:val>
            <c:numRef>
              <c:f>'Pivot Tables &amp; Charts'!$B$142:$B$145</c:f>
              <c:numCache>
                <c:formatCode>0</c:formatCode>
                <c:ptCount val="3"/>
                <c:pt idx="0">
                  <c:v>339</c:v>
                </c:pt>
                <c:pt idx="1">
                  <c:v>208</c:v>
                </c:pt>
                <c:pt idx="2">
                  <c:v>142</c:v>
                </c:pt>
              </c:numCache>
            </c:numRef>
          </c:val>
          <c:extLst>
            <c:ext xmlns:c16="http://schemas.microsoft.com/office/drawing/2014/chart" uri="{C3380CC4-5D6E-409C-BE32-E72D297353CC}">
              <c16:uniqueId val="{00000000-A905-4FA0-A91C-8445BA7AD7E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alpha val="9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Monthly Salary &amp; Avg</a:t>
            </a:r>
            <a:r>
              <a:rPr lang="en-US" b="1" baseline="0"/>
              <a:t> Job Rate by Experience Groups</a:t>
            </a:r>
            <a:endParaRPr lang="en-US" b="1"/>
          </a:p>
        </c:rich>
      </c:tx>
      <c:layout>
        <c:manualLayout>
          <c:xMode val="edge"/>
          <c:yMode val="edge"/>
          <c:x val="0.1351280440112915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5.1190469525883547E-2"/>
              <c:y val="-8.8603620888129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5.6878299473204046E-2"/>
              <c:y val="-6.1340968307166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5502639578563153E-2"/>
              <c:y val="-6.1340968307166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Monthly Salary</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5-6 Years</c:v>
              </c:pt>
              <c:pt idx="1">
                <c:v>7-8 Years</c:v>
              </c:pt>
              <c:pt idx="2">
                <c:v>9-10 Years</c:v>
              </c:pt>
            </c:strLit>
          </c:cat>
          <c:val>
            <c:numLit>
              <c:formatCode>#,##0</c:formatCode>
              <c:ptCount val="3"/>
              <c:pt idx="0">
                <c:v>2102.1484375</c:v>
              </c:pt>
              <c:pt idx="1">
                <c:v>2059.6165644171779</c:v>
              </c:pt>
              <c:pt idx="2">
                <c:v>2013.1401869158879</c:v>
              </c:pt>
            </c:numLit>
          </c:val>
          <c:extLst>
            <c:ext xmlns:c16="http://schemas.microsoft.com/office/drawing/2014/chart" uri="{C3380CC4-5D6E-409C-BE32-E72D297353CC}">
              <c16:uniqueId val="{00000003-E18C-431F-8870-C7096A23EAFD}"/>
            </c:ext>
          </c:extLst>
        </c:ser>
        <c:dLbls>
          <c:showLegendKey val="0"/>
          <c:showVal val="1"/>
          <c:showCatName val="0"/>
          <c:showSerName val="0"/>
          <c:showPercent val="0"/>
          <c:showBubbleSize val="0"/>
        </c:dLbls>
        <c:gapWidth val="219"/>
        <c:axId val="625906032"/>
        <c:axId val="625904112"/>
      </c:barChart>
      <c:lineChart>
        <c:grouping val="standard"/>
        <c:varyColors val="0"/>
        <c:ser>
          <c:idx val="1"/>
          <c:order val="1"/>
          <c:tx>
            <c:v>Average Job Rate</c:v>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7-E18C-431F-8870-C7096A23EAFD}"/>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E18C-431F-8870-C7096A23EAFD}"/>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6-E18C-431F-8870-C7096A23EAFD}"/>
              </c:ext>
            </c:extLst>
          </c:dPt>
          <c:dLbls>
            <c:dLbl>
              <c:idx val="0"/>
              <c:layout>
                <c:manualLayout>
                  <c:x val="-4.5502639578563153E-2"/>
                  <c:y val="-6.13409683071663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8C-431F-8870-C7096A23EAFD}"/>
                </c:ext>
              </c:extLst>
            </c:dLbl>
            <c:dLbl>
              <c:idx val="1"/>
              <c:layout>
                <c:manualLayout>
                  <c:x val="-5.1190469525883547E-2"/>
                  <c:y val="-8.86036208881292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18C-431F-8870-C7096A23EAFD}"/>
                </c:ext>
              </c:extLst>
            </c:dLbl>
            <c:dLbl>
              <c:idx val="2"/>
              <c:layout>
                <c:manualLayout>
                  <c:x val="-5.6878299473204046E-2"/>
                  <c:y val="-6.1340968307166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18C-431F-8870-C7096A23EA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5-6 Years</c:v>
              </c:pt>
              <c:pt idx="1">
                <c:v>7-8 Years</c:v>
              </c:pt>
              <c:pt idx="2">
                <c:v>9-10 Years</c:v>
              </c:pt>
            </c:strLit>
          </c:cat>
          <c:val>
            <c:numLit>
              <c:formatCode>0.00</c:formatCode>
              <c:ptCount val="3"/>
              <c:pt idx="0">
                <c:v>3.51171875</c:v>
              </c:pt>
              <c:pt idx="1">
                <c:v>3.5812883435582821</c:v>
              </c:pt>
              <c:pt idx="2">
                <c:v>3.7803738317757007</c:v>
              </c:pt>
            </c:numLit>
          </c:val>
          <c:smooth val="0"/>
          <c:extLst>
            <c:ext xmlns:c16="http://schemas.microsoft.com/office/drawing/2014/chart" uri="{C3380CC4-5D6E-409C-BE32-E72D297353CC}">
              <c16:uniqueId val="{00000004-E18C-431F-8870-C7096A23EAFD}"/>
            </c:ext>
          </c:extLst>
        </c:ser>
        <c:dLbls>
          <c:showLegendKey val="0"/>
          <c:showVal val="1"/>
          <c:showCatName val="0"/>
          <c:showSerName val="0"/>
          <c:showPercent val="0"/>
          <c:showBubbleSize val="0"/>
        </c:dLbls>
        <c:marker val="1"/>
        <c:smooth val="0"/>
        <c:axId val="625243824"/>
        <c:axId val="625242384"/>
      </c:lineChart>
      <c:catAx>
        <c:axId val="62590603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04112"/>
        <c:crosses val="autoZero"/>
        <c:auto val="1"/>
        <c:lblAlgn val="ctr"/>
        <c:lblOffset val="100"/>
        <c:noMultiLvlLbl val="0"/>
        <c:extLst>
          <c:ext xmlns:c15="http://schemas.microsoft.com/office/drawing/2012/chart" uri="{F40574EE-89B7-4290-83BB-5DA773EAF853}">
            <c15:numFmt c:formatCode="General" c:sourceLinked="1"/>
          </c:ext>
        </c:extLst>
      </c:catAx>
      <c:valAx>
        <c:axId val="62590411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06032"/>
        <c:crosses val="autoZero"/>
        <c:crossBetween val="between"/>
        <c:extLst>
          <c:ext xmlns:c15="http://schemas.microsoft.com/office/drawing/2012/chart" uri="{F40574EE-89B7-4290-83BB-5DA773EAF853}">
            <c15:numFmt c:formatCode="#,##0" c:sourceLinked="1"/>
          </c:ext>
        </c:extLst>
      </c:valAx>
      <c:valAx>
        <c:axId val="625242384"/>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43824"/>
        <c:crosses val="max"/>
        <c:crossBetween val="between"/>
        <c:extLst>
          <c:ext xmlns:c15="http://schemas.microsoft.com/office/drawing/2012/chart" uri="{F40574EE-89B7-4290-83BB-5DA773EAF853}">
            <c15:numFmt c:formatCode="0.00" c:sourceLinked="1"/>
          </c:ext>
        </c:extLst>
      </c:valAx>
      <c:catAx>
        <c:axId val="625243824"/>
        <c:scaling>
          <c:orientation val="minMax"/>
        </c:scaling>
        <c:delete val="1"/>
        <c:axPos val="b"/>
        <c:numFmt formatCode="General" sourceLinked="0"/>
        <c:majorTickMark val="out"/>
        <c:minorTickMark val="none"/>
        <c:tickLblPos val="nextTo"/>
        <c:crossAx val="625242384"/>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[Employees_Cleaning.xlsx]PivotChartTable9</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Employee by Experience Groups</a:t>
            </a:r>
            <a:endParaRPr lang="en-US" b="1"/>
          </a:p>
        </c:rich>
      </c:tx>
      <c:layout>
        <c:manualLayout>
          <c:xMode val="edge"/>
          <c:yMode val="edge"/>
          <c:x val="0.12398561320591271"/>
          <c:y val="1.4240773352485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22701DA-F311-4097-A15F-3C24645800F7}" type="CATEGORYNAME">
                  <a:rPr lang="en-US"/>
                  <a:pPr>
                    <a:defRPr/>
                  </a:pPr>
                  <a:t>[CATEGORY NAME]</a:t>
                </a:fld>
                <a:r>
                  <a:rPr lang="en-US" baseline="0"/>
                  <a:t>
</a:t>
                </a:r>
                <a:fld id="{3592CABA-87BB-453F-96E7-43F999ED1050}"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09FC007-314B-4EFB-9D4F-1FC2029E583C}" type="CATEGORYNAME">
                  <a:rPr lang="en-US"/>
                  <a:pPr>
                    <a:defRPr/>
                  </a:pPr>
                  <a:t>[CATEGORY NAME]</a:t>
                </a:fld>
                <a:r>
                  <a:rPr lang="en-US" baseline="0"/>
                  <a:t>
</a:t>
                </a:r>
                <a:fld id="{4E821F7E-7CEB-4558-B7C4-15F5A4AC90CD}"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2-C14E-4C8D-9568-85D13C5D2CB2}"/>
              </c:ext>
            </c:extLst>
          </c:dPt>
          <c:dPt>
            <c:idx val="1"/>
            <c:bubble3D val="0"/>
            <c:spPr>
              <a:solidFill>
                <a:schemeClr val="accent2"/>
              </a:solidFill>
              <a:ln>
                <a:noFill/>
              </a:ln>
              <a:effectLst/>
            </c:spPr>
            <c:extLst>
              <c:ext xmlns:c16="http://schemas.microsoft.com/office/drawing/2014/chart" uri="{C3380CC4-5D6E-409C-BE32-E72D297353CC}">
                <c16:uniqueId val="{00000004-C14E-4C8D-9568-85D13C5D2CB2}"/>
              </c:ext>
            </c:extLst>
          </c:dPt>
          <c:dPt>
            <c:idx val="2"/>
            <c:bubble3D val="0"/>
            <c:spPr>
              <a:solidFill>
                <a:schemeClr val="accent3"/>
              </a:solidFill>
              <a:ln>
                <a:noFill/>
              </a:ln>
              <a:effectLst/>
            </c:spPr>
            <c:extLst>
              <c:ext xmlns:c16="http://schemas.microsoft.com/office/drawing/2014/chart" uri="{C3380CC4-5D6E-409C-BE32-E72D297353CC}">
                <c16:uniqueId val="{00000003-C14E-4C8D-9568-85D13C5D2CB2}"/>
              </c:ext>
            </c:extLst>
          </c:dPt>
          <c:dLbls>
            <c:dLbl>
              <c:idx val="0"/>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4E-4C8D-9568-85D13C5D2CB2}"/>
                </c:ext>
              </c:extLst>
            </c:dLbl>
            <c:dLbl>
              <c:idx val="1"/>
              <c:tx>
                <c:rich>
                  <a:bodyPr/>
                  <a:lstStyle/>
                  <a:p>
                    <a:fld id="{009FC007-314B-4EFB-9D4F-1FC2029E583C}" type="CATEGORYNAME">
                      <a:rPr lang="en-US"/>
                      <a:pPr/>
                      <a:t>[CATEGORY NAME]</a:t>
                    </a:fld>
                    <a:r>
                      <a:rPr lang="en-US" baseline="0"/>
                      <a:t>
</a:t>
                    </a:r>
                    <a:fld id="{4E821F7E-7CEB-4558-B7C4-15F5A4AC90CD}" type="VALUE">
                      <a:rPr lang="en-US" baseline="0"/>
                      <a:pPr/>
                      <a:t>[VALUE]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14E-4C8D-9568-85D13C5D2CB2}"/>
                </c:ext>
              </c:extLst>
            </c:dLbl>
            <c:dLbl>
              <c:idx val="2"/>
              <c:tx>
                <c:rich>
                  <a:bodyPr/>
                  <a:lstStyle/>
                  <a:p>
                    <a:fld id="{822701DA-F311-4097-A15F-3C24645800F7}" type="CATEGORYNAME">
                      <a:rPr lang="en-US"/>
                      <a:pPr/>
                      <a:t>[CATEGORY NAME]</a:t>
                    </a:fld>
                    <a:r>
                      <a:rPr lang="en-US" baseline="0"/>
                      <a:t>
</a:t>
                    </a:r>
                    <a:fld id="{3592CABA-87BB-453F-96E7-43F999ED1050}" type="VALUE">
                      <a:rPr lang="en-US" baseline="0"/>
                      <a:pPr/>
                      <a:t>[VALUE]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14E-4C8D-9568-85D13C5D2CB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5-6 Years</c:v>
              </c:pt>
              <c:pt idx="1">
                <c:v>7-8 Years</c:v>
              </c:pt>
              <c:pt idx="2">
                <c:v>9-10 Years</c:v>
              </c:pt>
            </c:strLit>
          </c:cat>
          <c:val>
            <c:numLit>
              <c:formatCode>0</c:formatCode>
              <c:ptCount val="3"/>
              <c:pt idx="0">
                <c:v>256</c:v>
              </c:pt>
              <c:pt idx="1">
                <c:v>326</c:v>
              </c:pt>
              <c:pt idx="2">
                <c:v>107</c:v>
              </c:pt>
            </c:numLit>
          </c:val>
          <c:extLst>
            <c:ext xmlns:c16="http://schemas.microsoft.com/office/drawing/2014/chart" uri="{C3380CC4-5D6E-409C-BE32-E72D297353CC}">
              <c16:uniqueId val="{00000000-C14E-4C8D-9568-85D13C5D2CB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[Employees_Cleaning.xlsx]PivotChartTable10</c15:name>
        <c15:fmtId val="0"/>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Overtime Hours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Lit>
          </c:cat>
          <c:val>
            <c:numLit>
              <c:formatCode>General</c:formatCode>
              <c:ptCount val="20"/>
              <c:pt idx="0">
                <c:v>15.047619047619047</c:v>
              </c:pt>
              <c:pt idx="1">
                <c:v>17.473684210526315</c:v>
              </c:pt>
              <c:pt idx="2">
                <c:v>11.153846153846153</c:v>
              </c:pt>
              <c:pt idx="3">
                <c:v>3.6666666666666665</c:v>
              </c:pt>
              <c:pt idx="4">
                <c:v>10.431034482758621</c:v>
              </c:pt>
              <c:pt idx="5">
                <c:v>18.375</c:v>
              </c:pt>
              <c:pt idx="6">
                <c:v>17</c:v>
              </c:pt>
              <c:pt idx="7">
                <c:v>13.074999999999999</c:v>
              </c:pt>
              <c:pt idx="8">
                <c:v>38.625</c:v>
              </c:pt>
              <c:pt idx="9">
                <c:v>12.135714285714286</c:v>
              </c:pt>
              <c:pt idx="10">
                <c:v>26</c:v>
              </c:pt>
              <c:pt idx="11">
                <c:v>6.916666666666667</c:v>
              </c:pt>
              <c:pt idx="12">
                <c:v>6.4411764705882355</c:v>
              </c:pt>
              <c:pt idx="13">
                <c:v>15.642857142857142</c:v>
              </c:pt>
              <c:pt idx="14">
                <c:v>11.507462686567164</c:v>
              </c:pt>
              <c:pt idx="15">
                <c:v>19.101123595505619</c:v>
              </c:pt>
              <c:pt idx="16">
                <c:v>5.4</c:v>
              </c:pt>
              <c:pt idx="17">
                <c:v>3</c:v>
              </c:pt>
              <c:pt idx="18">
                <c:v>23.3</c:v>
              </c:pt>
              <c:pt idx="19">
                <c:v>24.125</c:v>
              </c:pt>
            </c:numLit>
          </c:val>
          <c:extLst>
            <c:ext xmlns:c16="http://schemas.microsoft.com/office/drawing/2014/chart" uri="{C3380CC4-5D6E-409C-BE32-E72D297353CC}">
              <c16:uniqueId val="{00000000-5E7F-4739-80A4-D2CE446C8B94}"/>
            </c:ext>
          </c:extLst>
        </c:ser>
        <c:dLbls>
          <c:dLblPos val="outEnd"/>
          <c:showLegendKey val="0"/>
          <c:showVal val="1"/>
          <c:showCatName val="0"/>
          <c:showSerName val="0"/>
          <c:showPercent val="0"/>
          <c:showBubbleSize val="0"/>
        </c:dLbls>
        <c:gapWidth val="219"/>
        <c:axId val="1642355456"/>
        <c:axId val="1642354016"/>
      </c:barChart>
      <c:catAx>
        <c:axId val="1642355456"/>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54016"/>
        <c:crosses val="autoZero"/>
        <c:auto val="1"/>
        <c:lblAlgn val="ctr"/>
        <c:lblOffset val="100"/>
        <c:noMultiLvlLbl val="0"/>
        <c:extLst>
          <c:ext xmlns:c15="http://schemas.microsoft.com/office/drawing/2012/chart" uri="{F40574EE-89B7-4290-83BB-5DA773EAF853}">
            <c15:numFmt c:formatCode="General" c:sourceLinked="1"/>
          </c:ext>
        </c:extLst>
      </c:catAx>
      <c:valAx>
        <c:axId val="1642354016"/>
        <c:scaling>
          <c:orientation val="minMax"/>
        </c:scaling>
        <c:delete val="1"/>
        <c:axPos val="b"/>
        <c:numFmt formatCode="General" sourceLinked="0"/>
        <c:majorTickMark val="none"/>
        <c:minorTickMark val="none"/>
        <c:tickLblPos val="nextTo"/>
        <c:crossAx val="1642355456"/>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[Employees_Cleaning.xlsx]PivotChartTable2</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Employee Distribution by Country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Employee Distribution by Country</a:t>
          </a:r>
        </a:p>
      </cx:txPr>
    </cx:title>
    <cx:plotArea>
      <cx:plotAreaRegion>
        <cx:series layoutId="treemap" uniqueId="{EDDC7E27-3E18-4504-8AD1-DFF6B89012AA}">
          <cx:tx>
            <cx:txData>
              <cx:f>_xlchart.v1.1</cx:f>
              <cx:v>Total Employees</cx:v>
            </cx:txData>
          </cx:tx>
          <cx:dataPt idx="0">
            <cx:spPr>
              <a:gradFill flip="none" rotWithShape="1">
                <a:gsLst>
                  <a:gs pos="0">
                    <a:srgbClr val="4472C4">
                      <a:lumMod val="40000"/>
                      <a:lumOff val="60000"/>
                    </a:srgbClr>
                  </a:gs>
                  <a:gs pos="74000">
                    <a:srgbClr val="05353F"/>
                  </a:gs>
                  <a:gs pos="83000">
                    <a:srgbClr val="05353F"/>
                  </a:gs>
                  <a:gs pos="100000">
                    <a:srgbClr val="05353F"/>
                  </a:gs>
                </a:gsLst>
                <a:lin ang="2700000" scaled="1"/>
                <a:tileRect/>
              </a:gradFill>
            </cx:spPr>
          </cx:dataPt>
          <cx:dataPt idx="1">
            <cx:spPr>
              <a:gradFill>
                <a:gsLst>
                  <a:gs pos="0">
                    <a:srgbClr val="FFC000">
                      <a:lumMod val="40000"/>
                      <a:lumOff val="60000"/>
                    </a:srgbClr>
                  </a:gs>
                  <a:gs pos="74000">
                    <a:srgbClr val="866B34"/>
                  </a:gs>
                  <a:gs pos="83000">
                    <a:srgbClr val="866B34"/>
                  </a:gs>
                  <a:gs pos="100000">
                    <a:srgbClr val="866B34"/>
                  </a:gs>
                </a:gsLst>
                <a:lin ang="2700000" scaled="1"/>
              </a:gradFill>
            </cx:spPr>
          </cx:dataPt>
          <cx:dataPt idx="2">
            <cx:spPr>
              <a:gradFill>
                <a:gsLst>
                  <a:gs pos="1000">
                    <a:srgbClr val="E7E6E6">
                      <a:lumMod val="90000"/>
                    </a:srgbClr>
                  </a:gs>
                  <a:gs pos="74000">
                    <a:srgbClr val="E7E6E6">
                      <a:lumMod val="50000"/>
                    </a:srgbClr>
                  </a:gs>
                  <a:gs pos="83000">
                    <a:srgbClr val="E7E6E6">
                      <a:lumMod val="50000"/>
                    </a:srgbClr>
                  </a:gs>
                  <a:gs pos="100000">
                    <a:srgbClr val="E7E6E6">
                      <a:lumMod val="50000"/>
                    </a:srgbClr>
                  </a:gs>
                </a:gsLst>
                <a:lin ang="2700000" scaled="1"/>
              </a:gradFill>
            </cx:spPr>
          </cx:dataPt>
          <cx:dataPt idx="3">
            <cx:spPr>
              <a:gradFill>
                <a:gsLst>
                  <a:gs pos="1000">
                    <a:sysClr val="window" lastClr="FFFFFF">
                      <a:lumMod val="95000"/>
                    </a:sysClr>
                  </a:gs>
                  <a:gs pos="74000">
                    <a:srgbClr val="70AD47">
                      <a:lumMod val="60000"/>
                      <a:lumOff val="40000"/>
                    </a:srgbClr>
                  </a:gs>
                  <a:gs pos="83000">
                    <a:srgbClr val="70AD47">
                      <a:lumMod val="60000"/>
                      <a:lumOff val="40000"/>
                    </a:srgbClr>
                  </a:gs>
                  <a:gs pos="100000">
                    <a:srgbClr val="70AD47">
                      <a:lumMod val="60000"/>
                      <a:lumOff val="40000"/>
                    </a:srgbClr>
                  </a:gs>
                </a:gsLst>
                <a:lin ang="2700000" scaled="1"/>
              </a:gradFill>
            </cx:spPr>
          </cx:dataPt>
          <cx:dataLabels>
            <cx:visibility seriesName="0" categoryName="1" value="1"/>
            <cx:separator>, </cx:separator>
            <cx:dataLabel idx="4">
              <cx:visibility seriesName="0" categoryName="1" value="1"/>
              <cx:separator>, </cx:separator>
            </cx:dataLabel>
          </cx:dataLabels>
          <cx:dataId val="0"/>
          <cx:layoutPr>
            <cx:parentLabelLayout val="overlapping"/>
          </cx:layoutPr>
        </cx:series>
      </cx:plotAreaRegion>
    </cx:plotArea>
  </cx:chart>
  <cx:spPr>
    <a:solidFill>
      <a:schemeClr val="bg1"/>
    </a:solidFill>
    <a:ln>
      <a:noFill/>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Employee Distribution by Country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Employee Distribution by Country</a:t>
          </a:r>
        </a:p>
      </cx:txPr>
    </cx:title>
    <cx:plotArea>
      <cx:plotAreaRegion>
        <cx:series layoutId="treemap" uniqueId="{EDDC7E27-3E18-4504-8AD1-DFF6B89012AA}">
          <cx:tx>
            <cx:txData>
              <cx:f>_xlchart.v1.4</cx:f>
              <cx:v>Total Employees</cx:v>
            </cx:txData>
          </cx:tx>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1.xml"/><Relationship Id="rId7"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5.png"/><Relationship Id="rId4" Type="http://schemas.openxmlformats.org/officeDocument/2006/relationships/chart" Target="../charts/chart2.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image" Target="../media/image6.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chart" Target="../charts/chart11.xml"/><Relationship Id="rId7" Type="http://schemas.openxmlformats.org/officeDocument/2006/relationships/image" Target="../media/image3.png"/><Relationship Id="rId2" Type="http://schemas.microsoft.com/office/2014/relationships/chartEx" Target="../charts/chartEx1.xml"/><Relationship Id="rId1" Type="http://schemas.openxmlformats.org/officeDocument/2006/relationships/chart" Target="../charts/chart10.xml"/><Relationship Id="rId6" Type="http://schemas.openxmlformats.org/officeDocument/2006/relationships/image" Target="../media/image7.png"/><Relationship Id="rId5" Type="http://schemas.openxmlformats.org/officeDocument/2006/relationships/chart" Target="../charts/chart13.xml"/><Relationship Id="rId10" Type="http://schemas.openxmlformats.org/officeDocument/2006/relationships/image" Target="../media/image10.png"/><Relationship Id="rId4" Type="http://schemas.openxmlformats.org/officeDocument/2006/relationships/chart" Target="../charts/chart12.xml"/><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microsoft.com/office/2014/relationships/chartEx" Target="../charts/chartEx2.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3</xdr:col>
      <xdr:colOff>451557</xdr:colOff>
      <xdr:row>0</xdr:row>
      <xdr:rowOff>141113</xdr:rowOff>
    </xdr:from>
    <xdr:to>
      <xdr:col>23</xdr:col>
      <xdr:colOff>545631</xdr:colOff>
      <xdr:row>5</xdr:row>
      <xdr:rowOff>112889</xdr:rowOff>
    </xdr:to>
    <xdr:sp macro="" textlink="">
      <xdr:nvSpPr>
        <xdr:cNvPr id="2" name="Rectangle: Diagonal Corners Rounded 1">
          <a:extLst>
            <a:ext uri="{FF2B5EF4-FFF2-40B4-BE49-F238E27FC236}">
              <a16:creationId xmlns:a16="http://schemas.microsoft.com/office/drawing/2014/main" id="{266CF316-6009-4B17-B52B-47B9358586C8}"/>
            </a:ext>
          </a:extLst>
        </xdr:cNvPr>
        <xdr:cNvSpPr/>
      </xdr:nvSpPr>
      <xdr:spPr>
        <a:xfrm>
          <a:off x="2463237" y="141113"/>
          <a:ext cx="13505274" cy="962376"/>
        </a:xfrm>
        <a:prstGeom prst="round2DiagRect">
          <a:avLst/>
        </a:prstGeom>
        <a:solidFill>
          <a:srgbClr val="05353F"/>
        </a:solidFill>
        <a:ln>
          <a:solidFill>
            <a:srgbClr val="01235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496831</xdr:colOff>
      <xdr:row>1</xdr:row>
      <xdr:rowOff>42712</xdr:rowOff>
    </xdr:from>
    <xdr:to>
      <xdr:col>21</xdr:col>
      <xdr:colOff>28575</xdr:colOff>
      <xdr:row>4</xdr:row>
      <xdr:rowOff>84901</xdr:rowOff>
    </xdr:to>
    <xdr:sp macro="" textlink="">
      <xdr:nvSpPr>
        <xdr:cNvPr id="3" name="TextBox 2">
          <a:extLst>
            <a:ext uri="{FF2B5EF4-FFF2-40B4-BE49-F238E27FC236}">
              <a16:creationId xmlns:a16="http://schemas.microsoft.com/office/drawing/2014/main" id="{AA8DBD6D-FB19-49BD-88D6-A8DCC88CF97B}"/>
            </a:ext>
          </a:extLst>
        </xdr:cNvPr>
        <xdr:cNvSpPr txBox="1"/>
      </xdr:nvSpPr>
      <xdr:spPr>
        <a:xfrm>
          <a:off x="4520191" y="240832"/>
          <a:ext cx="9590144" cy="636549"/>
        </a:xfrm>
        <a:prstGeom prst="rect">
          <a:avLst/>
        </a:prstGeom>
        <a:solidFill>
          <a:srgbClr val="0535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rgbClr val="F9F6EF"/>
              </a:solidFill>
            </a:rPr>
            <a:t>Employee Workforce Analytics | </a:t>
          </a:r>
          <a:r>
            <a:rPr lang="en-US" sz="3000" b="1">
              <a:solidFill>
                <a:srgbClr val="F8F5EE"/>
              </a:solidFill>
            </a:rPr>
            <a:t>Salary</a:t>
          </a:r>
          <a:r>
            <a:rPr lang="en-US" sz="3000" b="1" baseline="0">
              <a:solidFill>
                <a:srgbClr val="F8F5EE"/>
              </a:solidFill>
            </a:rPr>
            <a:t> and Performance</a:t>
          </a:r>
          <a:endParaRPr lang="en-US" sz="3000" b="1">
            <a:solidFill>
              <a:srgbClr val="F8F5EE"/>
            </a:solidFill>
          </a:endParaRPr>
        </a:p>
      </xdr:txBody>
    </xdr:sp>
    <xdr:clientData/>
  </xdr:twoCellAnchor>
  <xdr:twoCellAnchor>
    <xdr:from>
      <xdr:col>0</xdr:col>
      <xdr:colOff>162749</xdr:colOff>
      <xdr:row>0</xdr:row>
      <xdr:rowOff>122295</xdr:rowOff>
    </xdr:from>
    <xdr:to>
      <xdr:col>3</xdr:col>
      <xdr:colOff>366889</xdr:colOff>
      <xdr:row>31</xdr:row>
      <xdr:rowOff>18815</xdr:rowOff>
    </xdr:to>
    <xdr:sp macro="" textlink="">
      <xdr:nvSpPr>
        <xdr:cNvPr id="4" name="Rectangle: Rounded Corners 3">
          <a:extLst>
            <a:ext uri="{FF2B5EF4-FFF2-40B4-BE49-F238E27FC236}">
              <a16:creationId xmlns:a16="http://schemas.microsoft.com/office/drawing/2014/main" id="{98851DCF-FE6E-46E4-B08F-9E665C2BFF8F}"/>
            </a:ext>
          </a:extLst>
        </xdr:cNvPr>
        <xdr:cNvSpPr/>
      </xdr:nvSpPr>
      <xdr:spPr>
        <a:xfrm>
          <a:off x="162749" y="122295"/>
          <a:ext cx="2207918" cy="6020742"/>
        </a:xfrm>
        <a:prstGeom prst="roundRect">
          <a:avLst/>
        </a:prstGeom>
        <a:solidFill>
          <a:srgbClr val="05353F"/>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19</xdr:col>
      <xdr:colOff>629264</xdr:colOff>
      <xdr:row>4</xdr:row>
      <xdr:rowOff>75262</xdr:rowOff>
    </xdr:from>
    <xdr:to>
      <xdr:col>23</xdr:col>
      <xdr:colOff>403197</xdr:colOff>
      <xdr:row>9</xdr:row>
      <xdr:rowOff>13904</xdr:rowOff>
    </xdr:to>
    <xdr:sp macro="" textlink="'Pivot Tables &amp; Charts'!D10">
      <xdr:nvSpPr>
        <xdr:cNvPr id="5" name="Rectangle: Diagonal Corners Rounded 4">
          <a:extLst>
            <a:ext uri="{FF2B5EF4-FFF2-40B4-BE49-F238E27FC236}">
              <a16:creationId xmlns:a16="http://schemas.microsoft.com/office/drawing/2014/main" id="{1860163C-85F7-4DCD-AC10-FA760ABC086B}"/>
            </a:ext>
          </a:extLst>
        </xdr:cNvPr>
        <xdr:cNvSpPr/>
      </xdr:nvSpPr>
      <xdr:spPr>
        <a:xfrm>
          <a:off x="13319857" y="865484"/>
          <a:ext cx="2445636" cy="926420"/>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15</xdr:col>
      <xdr:colOff>648080</xdr:colOff>
      <xdr:row>4</xdr:row>
      <xdr:rowOff>91725</xdr:rowOff>
    </xdr:from>
    <xdr:to>
      <xdr:col>19</xdr:col>
      <xdr:colOff>422012</xdr:colOff>
      <xdr:row>9</xdr:row>
      <xdr:rowOff>30367</xdr:rowOff>
    </xdr:to>
    <xdr:sp macro="" textlink="'Pivot Tables &amp; Charts'!A10">
      <xdr:nvSpPr>
        <xdr:cNvPr id="6" name="Rectangle: Diagonal Corners Rounded 5">
          <a:extLst>
            <a:ext uri="{FF2B5EF4-FFF2-40B4-BE49-F238E27FC236}">
              <a16:creationId xmlns:a16="http://schemas.microsoft.com/office/drawing/2014/main" id="{2E21ED31-737C-4EDA-9957-B205AEF0C34F}"/>
            </a:ext>
          </a:extLst>
        </xdr:cNvPr>
        <xdr:cNvSpPr/>
      </xdr:nvSpPr>
      <xdr:spPr>
        <a:xfrm>
          <a:off x="10706480" y="884205"/>
          <a:ext cx="2456172" cy="929242"/>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11</xdr:col>
      <xdr:colOff>657487</xdr:colOff>
      <xdr:row>4</xdr:row>
      <xdr:rowOff>108188</xdr:rowOff>
    </xdr:from>
    <xdr:to>
      <xdr:col>15</xdr:col>
      <xdr:colOff>424741</xdr:colOff>
      <xdr:row>9</xdr:row>
      <xdr:rowOff>46830</xdr:rowOff>
    </xdr:to>
    <xdr:sp macro="" textlink="'Pivot Tables &amp; Charts'!J6">
      <xdr:nvSpPr>
        <xdr:cNvPr id="7" name="Rectangle: Diagonal Corners Rounded 6">
          <a:extLst>
            <a:ext uri="{FF2B5EF4-FFF2-40B4-BE49-F238E27FC236}">
              <a16:creationId xmlns:a16="http://schemas.microsoft.com/office/drawing/2014/main" id="{96961BE1-6751-4FF9-9DB5-21514C1084B8}"/>
            </a:ext>
          </a:extLst>
        </xdr:cNvPr>
        <xdr:cNvSpPr/>
      </xdr:nvSpPr>
      <xdr:spPr>
        <a:xfrm>
          <a:off x="8033647" y="900668"/>
          <a:ext cx="2449494" cy="929242"/>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8</xdr:col>
      <xdr:colOff>8376</xdr:colOff>
      <xdr:row>4</xdr:row>
      <xdr:rowOff>141114</xdr:rowOff>
    </xdr:from>
    <xdr:to>
      <xdr:col>11</xdr:col>
      <xdr:colOff>443557</xdr:colOff>
      <xdr:row>9</xdr:row>
      <xdr:rowOff>79756</xdr:rowOff>
    </xdr:to>
    <xdr:sp macro="" textlink="'Pivot Tables &amp; Charts'!G6">
      <xdr:nvSpPr>
        <xdr:cNvPr id="8" name="Rectangle: Diagonal Corners Rounded 7">
          <a:extLst>
            <a:ext uri="{FF2B5EF4-FFF2-40B4-BE49-F238E27FC236}">
              <a16:creationId xmlns:a16="http://schemas.microsoft.com/office/drawing/2014/main" id="{12601BB7-8E14-4828-B7D9-81E7ECF7CD4E}"/>
            </a:ext>
          </a:extLst>
        </xdr:cNvPr>
        <xdr:cNvSpPr/>
      </xdr:nvSpPr>
      <xdr:spPr>
        <a:xfrm>
          <a:off x="5372856" y="933594"/>
          <a:ext cx="2446861" cy="929242"/>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3</xdr:col>
      <xdr:colOff>666894</xdr:colOff>
      <xdr:row>4</xdr:row>
      <xdr:rowOff>124651</xdr:rowOff>
    </xdr:from>
    <xdr:to>
      <xdr:col>7</xdr:col>
      <xdr:colOff>434150</xdr:colOff>
      <xdr:row>9</xdr:row>
      <xdr:rowOff>63293</xdr:rowOff>
    </xdr:to>
    <xdr:sp macro="" textlink="'Pivot Tables &amp; Charts'!D6">
      <xdr:nvSpPr>
        <xdr:cNvPr id="9" name="Rectangle: Diagonal Corners Rounded 8">
          <a:extLst>
            <a:ext uri="{FF2B5EF4-FFF2-40B4-BE49-F238E27FC236}">
              <a16:creationId xmlns:a16="http://schemas.microsoft.com/office/drawing/2014/main" id="{E4BB524E-A837-458A-9A36-E3E4607908AD}"/>
            </a:ext>
          </a:extLst>
        </xdr:cNvPr>
        <xdr:cNvSpPr/>
      </xdr:nvSpPr>
      <xdr:spPr>
        <a:xfrm>
          <a:off x="2670672" y="914873"/>
          <a:ext cx="2438959" cy="926420"/>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editAs="oneCell">
    <xdr:from>
      <xdr:col>14</xdr:col>
      <xdr:colOff>428627</xdr:colOff>
      <xdr:row>5</xdr:row>
      <xdr:rowOff>123827</xdr:rowOff>
    </xdr:from>
    <xdr:to>
      <xdr:col>15</xdr:col>
      <xdr:colOff>381001</xdr:colOff>
      <xdr:row>8</xdr:row>
      <xdr:rowOff>142876</xdr:rowOff>
    </xdr:to>
    <xdr:pic>
      <xdr:nvPicPr>
        <xdr:cNvPr id="12" name="Picture 11">
          <a:extLst>
            <a:ext uri="{FF2B5EF4-FFF2-40B4-BE49-F238E27FC236}">
              <a16:creationId xmlns:a16="http://schemas.microsoft.com/office/drawing/2014/main" id="{DE84B8AD-9755-4580-B30D-09AF5FD8AD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16467" y="1114427"/>
          <a:ext cx="622934" cy="613409"/>
        </a:xfrm>
        <a:prstGeom prst="rect">
          <a:avLst/>
        </a:prstGeom>
      </xdr:spPr>
    </xdr:pic>
    <xdr:clientData/>
  </xdr:twoCellAnchor>
  <xdr:twoCellAnchor editAs="oneCell">
    <xdr:from>
      <xdr:col>22</xdr:col>
      <xdr:colOff>352425</xdr:colOff>
      <xdr:row>5</xdr:row>
      <xdr:rowOff>171451</xdr:rowOff>
    </xdr:from>
    <xdr:to>
      <xdr:col>23</xdr:col>
      <xdr:colOff>276225</xdr:colOff>
      <xdr:row>8</xdr:row>
      <xdr:rowOff>161926</xdr:rowOff>
    </xdr:to>
    <xdr:pic>
      <xdr:nvPicPr>
        <xdr:cNvPr id="13" name="Picture 12">
          <a:extLst>
            <a:ext uri="{FF2B5EF4-FFF2-40B4-BE49-F238E27FC236}">
              <a16:creationId xmlns:a16="http://schemas.microsoft.com/office/drawing/2014/main" id="{A6E74AC7-F5DE-4FD1-B124-FB212D4E2E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104745" y="1162051"/>
          <a:ext cx="594360" cy="584835"/>
        </a:xfrm>
        <a:prstGeom prst="rect">
          <a:avLst/>
        </a:prstGeom>
      </xdr:spPr>
    </xdr:pic>
    <xdr:clientData/>
  </xdr:twoCellAnchor>
  <xdr:twoCellAnchor>
    <xdr:from>
      <xdr:col>3</xdr:col>
      <xdr:colOff>508234</xdr:colOff>
      <xdr:row>9</xdr:row>
      <xdr:rowOff>197202</xdr:rowOff>
    </xdr:from>
    <xdr:to>
      <xdr:col>9</xdr:col>
      <xdr:colOff>564445</xdr:colOff>
      <xdr:row>19</xdr:row>
      <xdr:rowOff>112888</xdr:rowOff>
    </xdr:to>
    <xdr:sp macro="" textlink="">
      <xdr:nvSpPr>
        <xdr:cNvPr id="16" name="Rectangle: Rounded Corners 15">
          <a:extLst>
            <a:ext uri="{FF2B5EF4-FFF2-40B4-BE49-F238E27FC236}">
              <a16:creationId xmlns:a16="http://schemas.microsoft.com/office/drawing/2014/main" id="{C7F3D1DF-C1FB-02BE-D038-77067F77D56F}"/>
            </a:ext>
          </a:extLst>
        </xdr:cNvPr>
        <xdr:cNvSpPr/>
      </xdr:nvSpPr>
      <xdr:spPr>
        <a:xfrm>
          <a:off x="2512012" y="1975202"/>
          <a:ext cx="4063766" cy="1891242"/>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470370</xdr:colOff>
      <xdr:row>9</xdr:row>
      <xdr:rowOff>178741</xdr:rowOff>
    </xdr:from>
    <xdr:to>
      <xdr:col>23</xdr:col>
      <xdr:colOff>479778</xdr:colOff>
      <xdr:row>19</xdr:row>
      <xdr:rowOff>94074</xdr:rowOff>
    </xdr:to>
    <xdr:sp macro="" textlink="">
      <xdr:nvSpPr>
        <xdr:cNvPr id="22" name="Rectangle: Rounded Corners 21">
          <a:extLst>
            <a:ext uri="{FF2B5EF4-FFF2-40B4-BE49-F238E27FC236}">
              <a16:creationId xmlns:a16="http://schemas.microsoft.com/office/drawing/2014/main" id="{7C38E541-348C-132E-2908-A794FD6A1757}"/>
            </a:ext>
          </a:extLst>
        </xdr:cNvPr>
        <xdr:cNvSpPr/>
      </xdr:nvSpPr>
      <xdr:spPr>
        <a:xfrm>
          <a:off x="11825111" y="1956741"/>
          <a:ext cx="4016963" cy="1890889"/>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329258</xdr:colOff>
      <xdr:row>2</xdr:row>
      <xdr:rowOff>103481</xdr:rowOff>
    </xdr:from>
    <xdr:to>
      <xdr:col>3</xdr:col>
      <xdr:colOff>263407</xdr:colOff>
      <xdr:row>8</xdr:row>
      <xdr:rowOff>188149</xdr:rowOff>
    </xdr:to>
    <mc:AlternateContent xmlns:mc="http://schemas.openxmlformats.org/markup-compatibility/2006" xmlns:a14="http://schemas.microsoft.com/office/drawing/2010/main">
      <mc:Choice Requires="a14">
        <xdr:graphicFrame macro="">
          <xdr:nvGraphicFramePr>
            <xdr:cNvPr id="31" name="Salary Classification 1">
              <a:extLst>
                <a:ext uri="{FF2B5EF4-FFF2-40B4-BE49-F238E27FC236}">
                  <a16:creationId xmlns:a16="http://schemas.microsoft.com/office/drawing/2014/main" id="{08CDC846-2F04-4050-90EE-AF2961861139}"/>
                </a:ext>
              </a:extLst>
            </xdr:cNvPr>
            <xdr:cNvGraphicFramePr/>
          </xdr:nvGraphicFramePr>
          <xdr:xfrm>
            <a:off x="0" y="0"/>
            <a:ext cx="0" cy="0"/>
          </xdr:xfrm>
          <a:graphic>
            <a:graphicData uri="http://schemas.microsoft.com/office/drawing/2010/slicer">
              <sle:slicer xmlns:sle="http://schemas.microsoft.com/office/drawing/2010/slicer" name="Salary Classification 1"/>
            </a:graphicData>
          </a:graphic>
        </xdr:graphicFrame>
      </mc:Choice>
      <mc:Fallback xmlns="">
        <xdr:sp macro="" textlink="">
          <xdr:nvSpPr>
            <xdr:cNvPr id="0" name=""/>
            <xdr:cNvSpPr>
              <a:spLocks noTextEdit="1"/>
            </xdr:cNvSpPr>
          </xdr:nvSpPr>
          <xdr:spPr>
            <a:xfrm>
              <a:off x="329258" y="498592"/>
              <a:ext cx="1937927" cy="1270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319852</xdr:colOff>
      <xdr:row>9</xdr:row>
      <xdr:rowOff>94076</xdr:rowOff>
    </xdr:from>
    <xdr:to>
      <xdr:col>3</xdr:col>
      <xdr:colOff>254000</xdr:colOff>
      <xdr:row>15</xdr:row>
      <xdr:rowOff>169335</xdr:rowOff>
    </xdr:to>
    <mc:AlternateContent xmlns:mc="http://schemas.openxmlformats.org/markup-compatibility/2006" xmlns:a14="http://schemas.microsoft.com/office/drawing/2010/main">
      <mc:Choice Requires="a14">
        <xdr:graphicFrame macro="">
          <xdr:nvGraphicFramePr>
            <xdr:cNvPr id="32" name="Job Rate Category 1">
              <a:extLst>
                <a:ext uri="{FF2B5EF4-FFF2-40B4-BE49-F238E27FC236}">
                  <a16:creationId xmlns:a16="http://schemas.microsoft.com/office/drawing/2014/main" id="{739B2249-EE56-4618-9B90-5F30382AB706}"/>
                </a:ext>
              </a:extLst>
            </xdr:cNvPr>
            <xdr:cNvGraphicFramePr/>
          </xdr:nvGraphicFramePr>
          <xdr:xfrm>
            <a:off x="0" y="0"/>
            <a:ext cx="0" cy="0"/>
          </xdr:xfrm>
          <a:graphic>
            <a:graphicData uri="http://schemas.microsoft.com/office/drawing/2010/slicer">
              <sle:slicer xmlns:sle="http://schemas.microsoft.com/office/drawing/2010/slicer" name="Job Rate Category 1"/>
            </a:graphicData>
          </a:graphic>
        </xdr:graphicFrame>
      </mc:Choice>
      <mc:Fallback xmlns="">
        <xdr:sp macro="" textlink="">
          <xdr:nvSpPr>
            <xdr:cNvPr id="0" name=""/>
            <xdr:cNvSpPr>
              <a:spLocks noTextEdit="1"/>
            </xdr:cNvSpPr>
          </xdr:nvSpPr>
          <xdr:spPr>
            <a:xfrm>
              <a:off x="319852" y="1872076"/>
              <a:ext cx="1937926" cy="1260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322675</xdr:colOff>
      <xdr:row>16</xdr:row>
      <xdr:rowOff>103481</xdr:rowOff>
    </xdr:from>
    <xdr:to>
      <xdr:col>3</xdr:col>
      <xdr:colOff>254000</xdr:colOff>
      <xdr:row>22</xdr:row>
      <xdr:rowOff>178742</xdr:rowOff>
    </xdr:to>
    <mc:AlternateContent xmlns:mc="http://schemas.openxmlformats.org/markup-compatibility/2006" xmlns:a14="http://schemas.microsoft.com/office/drawing/2010/main">
      <mc:Choice Requires="a14">
        <xdr:graphicFrame macro="">
          <xdr:nvGraphicFramePr>
            <xdr:cNvPr id="33" name="Overtime Category 1">
              <a:extLst>
                <a:ext uri="{FF2B5EF4-FFF2-40B4-BE49-F238E27FC236}">
                  <a16:creationId xmlns:a16="http://schemas.microsoft.com/office/drawing/2014/main" id="{64CA7118-B3CB-48FA-9990-BD862C664EEA}"/>
                </a:ext>
              </a:extLst>
            </xdr:cNvPr>
            <xdr:cNvGraphicFramePr/>
          </xdr:nvGraphicFramePr>
          <xdr:xfrm>
            <a:off x="0" y="0"/>
            <a:ext cx="0" cy="0"/>
          </xdr:xfrm>
          <a:graphic>
            <a:graphicData uri="http://schemas.microsoft.com/office/drawing/2010/slicer">
              <sle:slicer xmlns:sle="http://schemas.microsoft.com/office/drawing/2010/slicer" name="Overtime Category 1"/>
            </a:graphicData>
          </a:graphic>
        </xdr:graphicFrame>
      </mc:Choice>
      <mc:Fallback xmlns="">
        <xdr:sp macro="" textlink="">
          <xdr:nvSpPr>
            <xdr:cNvPr id="0" name=""/>
            <xdr:cNvSpPr>
              <a:spLocks noTextEdit="1"/>
            </xdr:cNvSpPr>
          </xdr:nvSpPr>
          <xdr:spPr>
            <a:xfrm>
              <a:off x="322675" y="3264370"/>
              <a:ext cx="1935103" cy="1260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310680</xdr:colOff>
      <xdr:row>23</xdr:row>
      <xdr:rowOff>94074</xdr:rowOff>
    </xdr:from>
    <xdr:to>
      <xdr:col>3</xdr:col>
      <xdr:colOff>244594</xdr:colOff>
      <xdr:row>29</xdr:row>
      <xdr:rowOff>169333</xdr:rowOff>
    </xdr:to>
    <mc:AlternateContent xmlns:mc="http://schemas.openxmlformats.org/markup-compatibility/2006" xmlns:a14="http://schemas.microsoft.com/office/drawing/2010/main">
      <mc:Choice Requires="a14">
        <xdr:graphicFrame macro="">
          <xdr:nvGraphicFramePr>
            <xdr:cNvPr id="34" name="Experience Group 3">
              <a:extLst>
                <a:ext uri="{FF2B5EF4-FFF2-40B4-BE49-F238E27FC236}">
                  <a16:creationId xmlns:a16="http://schemas.microsoft.com/office/drawing/2014/main" id="{FBC66805-033D-49A6-88A9-AE7D7484000B}"/>
                </a:ext>
              </a:extLst>
            </xdr:cNvPr>
            <xdr:cNvGraphicFramePr/>
          </xdr:nvGraphicFramePr>
          <xdr:xfrm>
            <a:off x="0" y="0"/>
            <a:ext cx="0" cy="0"/>
          </xdr:xfrm>
          <a:graphic>
            <a:graphicData uri="http://schemas.microsoft.com/office/drawing/2010/slicer">
              <sle:slicer xmlns:sle="http://schemas.microsoft.com/office/drawing/2010/slicer" name="Experience Group 3"/>
            </a:graphicData>
          </a:graphic>
        </xdr:graphicFrame>
      </mc:Choice>
      <mc:Fallback xmlns="">
        <xdr:sp macro="" textlink="">
          <xdr:nvSpPr>
            <xdr:cNvPr id="0" name=""/>
            <xdr:cNvSpPr>
              <a:spLocks noTextEdit="1"/>
            </xdr:cNvSpPr>
          </xdr:nvSpPr>
          <xdr:spPr>
            <a:xfrm>
              <a:off x="310680" y="4637852"/>
              <a:ext cx="1937692" cy="1260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131703</xdr:colOff>
      <xdr:row>0</xdr:row>
      <xdr:rowOff>197553</xdr:rowOff>
    </xdr:from>
    <xdr:to>
      <xdr:col>6</xdr:col>
      <xdr:colOff>628179</xdr:colOff>
      <xdr:row>4</xdr:row>
      <xdr:rowOff>112889</xdr:rowOff>
    </xdr:to>
    <mc:AlternateContent xmlns:mc="http://schemas.openxmlformats.org/markup-compatibility/2006" xmlns:a14="http://schemas.microsoft.com/office/drawing/2010/main">
      <mc:Choice Requires="a14">
        <xdr:graphicFrame macro="">
          <xdr:nvGraphicFramePr>
            <xdr:cNvPr id="35" name="Gender 2">
              <a:extLst>
                <a:ext uri="{FF2B5EF4-FFF2-40B4-BE49-F238E27FC236}">
                  <a16:creationId xmlns:a16="http://schemas.microsoft.com/office/drawing/2014/main" id="{62E0A157-9E27-4662-AD7E-97E0F48D7D0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803407" y="197553"/>
              <a:ext cx="1832328" cy="705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56444</xdr:colOff>
      <xdr:row>10</xdr:row>
      <xdr:rowOff>94074</xdr:rowOff>
    </xdr:from>
    <xdr:to>
      <xdr:col>9</xdr:col>
      <xdr:colOff>291630</xdr:colOff>
      <xdr:row>19</xdr:row>
      <xdr:rowOff>28221</xdr:rowOff>
    </xdr:to>
    <xdr:graphicFrame macro="">
      <xdr:nvGraphicFramePr>
        <xdr:cNvPr id="27" name="Chart 26">
          <a:extLst>
            <a:ext uri="{FF2B5EF4-FFF2-40B4-BE49-F238E27FC236}">
              <a16:creationId xmlns:a16="http://schemas.microsoft.com/office/drawing/2014/main" id="{46A594F5-70D7-4B58-A6AE-4702F52B3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84666</xdr:colOff>
      <xdr:row>10</xdr:row>
      <xdr:rowOff>47038</xdr:rowOff>
    </xdr:from>
    <xdr:to>
      <xdr:col>23</xdr:col>
      <xdr:colOff>272816</xdr:colOff>
      <xdr:row>19</xdr:row>
      <xdr:rowOff>0</xdr:rowOff>
    </xdr:to>
    <xdr:graphicFrame macro="">
      <xdr:nvGraphicFramePr>
        <xdr:cNvPr id="29" name="Chart 28">
          <a:extLst>
            <a:ext uri="{FF2B5EF4-FFF2-40B4-BE49-F238E27FC236}">
              <a16:creationId xmlns:a16="http://schemas.microsoft.com/office/drawing/2014/main" id="{8BD2028E-58DC-41FA-80AF-4675B24B6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47037</xdr:colOff>
      <xdr:row>9</xdr:row>
      <xdr:rowOff>189677</xdr:rowOff>
    </xdr:from>
    <xdr:to>
      <xdr:col>17</xdr:col>
      <xdr:colOff>310444</xdr:colOff>
      <xdr:row>19</xdr:row>
      <xdr:rowOff>105363</xdr:rowOff>
    </xdr:to>
    <xdr:sp macro="" textlink="">
      <xdr:nvSpPr>
        <xdr:cNvPr id="30" name="Rectangle: Rounded Corners 29">
          <a:extLst>
            <a:ext uri="{FF2B5EF4-FFF2-40B4-BE49-F238E27FC236}">
              <a16:creationId xmlns:a16="http://schemas.microsoft.com/office/drawing/2014/main" id="{949A0477-F4B2-4B11-A57D-D71DC04AE651}"/>
            </a:ext>
          </a:extLst>
        </xdr:cNvPr>
        <xdr:cNvSpPr/>
      </xdr:nvSpPr>
      <xdr:spPr>
        <a:xfrm>
          <a:off x="6726296" y="1967677"/>
          <a:ext cx="4938889" cy="1891242"/>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310445</xdr:colOff>
      <xdr:row>10</xdr:row>
      <xdr:rowOff>75262</xdr:rowOff>
    </xdr:from>
    <xdr:to>
      <xdr:col>16</xdr:col>
      <xdr:colOff>649111</xdr:colOff>
      <xdr:row>19</xdr:row>
      <xdr:rowOff>56446</xdr:rowOff>
    </xdr:to>
    <xdr:graphicFrame macro="">
      <xdr:nvGraphicFramePr>
        <xdr:cNvPr id="36" name="Chart 35">
          <a:extLst>
            <a:ext uri="{FF2B5EF4-FFF2-40B4-BE49-F238E27FC236}">
              <a16:creationId xmlns:a16="http://schemas.microsoft.com/office/drawing/2014/main" id="{17BC8DB1-5038-4DBD-B7A6-7C5D4E580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472486</xdr:colOff>
      <xdr:row>20</xdr:row>
      <xdr:rowOff>57972</xdr:rowOff>
    </xdr:from>
    <xdr:to>
      <xdr:col>13</xdr:col>
      <xdr:colOff>112889</xdr:colOff>
      <xdr:row>30</xdr:row>
      <xdr:rowOff>188147</xdr:rowOff>
    </xdr:to>
    <xdr:sp macro="" textlink="">
      <xdr:nvSpPr>
        <xdr:cNvPr id="37" name="Rectangle: Rounded Corners 36">
          <a:extLst>
            <a:ext uri="{FF2B5EF4-FFF2-40B4-BE49-F238E27FC236}">
              <a16:creationId xmlns:a16="http://schemas.microsoft.com/office/drawing/2014/main" id="{7FD56F22-A21B-47F5-9E92-5AEB3CF58457}"/>
            </a:ext>
          </a:extLst>
        </xdr:cNvPr>
        <xdr:cNvSpPr/>
      </xdr:nvSpPr>
      <xdr:spPr>
        <a:xfrm>
          <a:off x="2476264" y="4009083"/>
          <a:ext cx="6319662" cy="2105731"/>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566561</xdr:colOff>
      <xdr:row>21</xdr:row>
      <xdr:rowOff>57970</xdr:rowOff>
    </xdr:from>
    <xdr:to>
      <xdr:col>12</xdr:col>
      <xdr:colOff>620889</xdr:colOff>
      <xdr:row>29</xdr:row>
      <xdr:rowOff>169332</xdr:rowOff>
    </xdr:to>
    <xdr:graphicFrame macro="">
      <xdr:nvGraphicFramePr>
        <xdr:cNvPr id="38" name="Chart 37">
          <a:extLst>
            <a:ext uri="{FF2B5EF4-FFF2-40B4-BE49-F238E27FC236}">
              <a16:creationId xmlns:a16="http://schemas.microsoft.com/office/drawing/2014/main" id="{B59FDACB-2A70-4206-84D4-F8B4C2910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263407</xdr:colOff>
      <xdr:row>20</xdr:row>
      <xdr:rowOff>48918</xdr:rowOff>
    </xdr:from>
    <xdr:to>
      <xdr:col>23</xdr:col>
      <xdr:colOff>519289</xdr:colOff>
      <xdr:row>30</xdr:row>
      <xdr:rowOff>159926</xdr:rowOff>
    </xdr:to>
    <xdr:sp macro="" textlink="">
      <xdr:nvSpPr>
        <xdr:cNvPr id="40" name="Rectangle: Rounded Corners 39">
          <a:extLst>
            <a:ext uri="{FF2B5EF4-FFF2-40B4-BE49-F238E27FC236}">
              <a16:creationId xmlns:a16="http://schemas.microsoft.com/office/drawing/2014/main" id="{10FB2199-9050-46A7-9A43-1EE20E697C9A}"/>
            </a:ext>
          </a:extLst>
        </xdr:cNvPr>
        <xdr:cNvSpPr/>
      </xdr:nvSpPr>
      <xdr:spPr>
        <a:xfrm>
          <a:off x="8946444" y="4000029"/>
          <a:ext cx="6935141" cy="2086564"/>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564444</xdr:colOff>
      <xdr:row>6</xdr:row>
      <xdr:rowOff>131704</xdr:rowOff>
    </xdr:from>
    <xdr:to>
      <xdr:col>7</xdr:col>
      <xdr:colOff>336180</xdr:colOff>
      <xdr:row>8</xdr:row>
      <xdr:rowOff>179304</xdr:rowOff>
    </xdr:to>
    <xdr:pic>
      <xdr:nvPicPr>
        <xdr:cNvPr id="41" name="Picture 40">
          <a:extLst>
            <a:ext uri="{FF2B5EF4-FFF2-40B4-BE49-F238E27FC236}">
              <a16:creationId xmlns:a16="http://schemas.microsoft.com/office/drawing/2014/main" id="{60191419-EB24-4691-8C24-C9278FD4011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572000" y="1317037"/>
          <a:ext cx="439661" cy="442711"/>
        </a:xfrm>
        <a:prstGeom prst="rect">
          <a:avLst/>
        </a:prstGeom>
      </xdr:spPr>
    </xdr:pic>
    <xdr:clientData/>
  </xdr:twoCellAnchor>
  <xdr:twoCellAnchor>
    <xdr:from>
      <xdr:col>13</xdr:col>
      <xdr:colOff>517408</xdr:colOff>
      <xdr:row>20</xdr:row>
      <xdr:rowOff>150519</xdr:rowOff>
    </xdr:from>
    <xdr:to>
      <xdr:col>23</xdr:col>
      <xdr:colOff>301037</xdr:colOff>
      <xdr:row>30</xdr:row>
      <xdr:rowOff>34950</xdr:rowOff>
    </xdr:to>
    <xdr:graphicFrame macro="">
      <xdr:nvGraphicFramePr>
        <xdr:cNvPr id="42" name="Chart 41">
          <a:extLst>
            <a:ext uri="{FF2B5EF4-FFF2-40B4-BE49-F238E27FC236}">
              <a16:creationId xmlns:a16="http://schemas.microsoft.com/office/drawing/2014/main" id="{91CF826A-AE09-4B4E-A9C9-1A2C96DC9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53906</xdr:colOff>
      <xdr:row>5</xdr:row>
      <xdr:rowOff>4612</xdr:rowOff>
    </xdr:from>
    <xdr:to>
      <xdr:col>7</xdr:col>
      <xdr:colOff>338666</xdr:colOff>
      <xdr:row>6</xdr:row>
      <xdr:rowOff>125361</xdr:rowOff>
    </xdr:to>
    <xdr:sp macro="" textlink="">
      <xdr:nvSpPr>
        <xdr:cNvPr id="10" name="TextBox 9">
          <a:extLst>
            <a:ext uri="{FF2B5EF4-FFF2-40B4-BE49-F238E27FC236}">
              <a16:creationId xmlns:a16="http://schemas.microsoft.com/office/drawing/2014/main" id="{FD950EE6-8013-4610-B9BD-B043443CCC93}"/>
            </a:ext>
          </a:extLst>
        </xdr:cNvPr>
        <xdr:cNvSpPr txBox="1"/>
      </xdr:nvSpPr>
      <xdr:spPr>
        <a:xfrm>
          <a:off x="2725610" y="992390"/>
          <a:ext cx="2288537"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Total Annual Salary</a:t>
          </a:r>
        </a:p>
      </xdr:txBody>
    </xdr:sp>
    <xdr:clientData/>
  </xdr:twoCellAnchor>
  <xdr:twoCellAnchor>
    <xdr:from>
      <xdr:col>4</xdr:col>
      <xdr:colOff>206306</xdr:colOff>
      <xdr:row>6</xdr:row>
      <xdr:rowOff>157013</xdr:rowOff>
    </xdr:from>
    <xdr:to>
      <xdr:col>6</xdr:col>
      <xdr:colOff>385703</xdr:colOff>
      <xdr:row>8</xdr:row>
      <xdr:rowOff>80206</xdr:rowOff>
    </xdr:to>
    <xdr:sp macro="" textlink="'Pivot Tables &amp; Charts'!D6">
      <xdr:nvSpPr>
        <xdr:cNvPr id="15" name="TextBox 14">
          <a:extLst>
            <a:ext uri="{FF2B5EF4-FFF2-40B4-BE49-F238E27FC236}">
              <a16:creationId xmlns:a16="http://schemas.microsoft.com/office/drawing/2014/main" id="{A3862638-5626-4F51-9F96-559A1833111B}"/>
            </a:ext>
          </a:extLst>
        </xdr:cNvPr>
        <xdr:cNvSpPr txBox="1"/>
      </xdr:nvSpPr>
      <xdr:spPr>
        <a:xfrm>
          <a:off x="2878010" y="1342346"/>
          <a:ext cx="1515249"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42F86E-79CD-488B-97B6-8A5E9ECA6573}" type="TxLink">
            <a:rPr lang="en-US" sz="2000" b="1" i="0" u="none" strike="noStrike">
              <a:solidFill>
                <a:srgbClr val="05353F"/>
              </a:solidFill>
              <a:latin typeface="Calibri"/>
              <a:ea typeface="Calibri"/>
              <a:cs typeface="Calibri"/>
            </a:rPr>
            <a:pPr/>
            <a:t>17,099,892</a:t>
          </a:fld>
          <a:endParaRPr lang="en-US" sz="3600" b="1">
            <a:solidFill>
              <a:srgbClr val="05353F"/>
            </a:solidFill>
          </a:endParaRPr>
        </a:p>
      </xdr:txBody>
    </xdr:sp>
    <xdr:clientData/>
  </xdr:twoCellAnchor>
  <xdr:twoCellAnchor>
    <xdr:from>
      <xdr:col>8</xdr:col>
      <xdr:colOff>102826</xdr:colOff>
      <xdr:row>4</xdr:row>
      <xdr:rowOff>157012</xdr:rowOff>
    </xdr:from>
    <xdr:to>
      <xdr:col>11</xdr:col>
      <xdr:colOff>387585</xdr:colOff>
      <xdr:row>6</xdr:row>
      <xdr:rowOff>80205</xdr:rowOff>
    </xdr:to>
    <xdr:sp macro="" textlink="">
      <xdr:nvSpPr>
        <xdr:cNvPr id="17" name="TextBox 16">
          <a:extLst>
            <a:ext uri="{FF2B5EF4-FFF2-40B4-BE49-F238E27FC236}">
              <a16:creationId xmlns:a16="http://schemas.microsoft.com/office/drawing/2014/main" id="{7CB6C9FB-F60A-49C1-9B2C-5B132FD4765E}"/>
            </a:ext>
          </a:extLst>
        </xdr:cNvPr>
        <xdr:cNvSpPr txBox="1"/>
      </xdr:nvSpPr>
      <xdr:spPr>
        <a:xfrm>
          <a:off x="5446233" y="947234"/>
          <a:ext cx="2288537"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Avg</a:t>
          </a:r>
          <a:r>
            <a:rPr lang="en-US" sz="2000" b="1" baseline="0">
              <a:solidFill>
                <a:srgbClr val="05353F"/>
              </a:solidFill>
            </a:rPr>
            <a:t> Monthly Salary</a:t>
          </a:r>
          <a:endParaRPr lang="en-US" sz="2000" b="1">
            <a:solidFill>
              <a:srgbClr val="05353F"/>
            </a:solidFill>
          </a:endParaRPr>
        </a:p>
      </xdr:txBody>
    </xdr:sp>
    <xdr:clientData/>
  </xdr:twoCellAnchor>
  <xdr:twoCellAnchor>
    <xdr:from>
      <xdr:col>8</xdr:col>
      <xdr:colOff>396335</xdr:colOff>
      <xdr:row>6</xdr:row>
      <xdr:rowOff>149487</xdr:rowOff>
    </xdr:from>
    <xdr:to>
      <xdr:col>9</xdr:col>
      <xdr:colOff>611482</xdr:colOff>
      <xdr:row>8</xdr:row>
      <xdr:rowOff>72680</xdr:rowOff>
    </xdr:to>
    <xdr:sp macro="" textlink="'Pivot Tables &amp; Charts'!G6">
      <xdr:nvSpPr>
        <xdr:cNvPr id="18" name="TextBox 17">
          <a:extLst>
            <a:ext uri="{FF2B5EF4-FFF2-40B4-BE49-F238E27FC236}">
              <a16:creationId xmlns:a16="http://schemas.microsoft.com/office/drawing/2014/main" id="{A366AAAC-B4C2-4476-8C81-8895026220A9}"/>
            </a:ext>
          </a:extLst>
        </xdr:cNvPr>
        <xdr:cNvSpPr txBox="1"/>
      </xdr:nvSpPr>
      <xdr:spPr>
        <a:xfrm>
          <a:off x="5739742" y="1334820"/>
          <a:ext cx="883073"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CA318A-BA32-454C-ACE3-EFB523100753}" type="TxLink">
            <a:rPr lang="en-US" sz="2000" b="1" i="0" u="none" strike="noStrike">
              <a:solidFill>
                <a:srgbClr val="05353F"/>
              </a:solidFill>
              <a:latin typeface="Calibri"/>
              <a:ea typeface="Calibri"/>
              <a:cs typeface="Calibri"/>
            </a:rPr>
            <a:pPr/>
            <a:t>2,068</a:t>
          </a:fld>
          <a:endParaRPr lang="en-US" sz="5400" b="1">
            <a:solidFill>
              <a:srgbClr val="05353F"/>
            </a:solidFill>
          </a:endParaRPr>
        </a:p>
      </xdr:txBody>
    </xdr:sp>
    <xdr:clientData/>
  </xdr:twoCellAnchor>
  <xdr:twoCellAnchor editAs="oneCell">
    <xdr:from>
      <xdr:col>10</xdr:col>
      <xdr:colOff>465078</xdr:colOff>
      <xdr:row>6</xdr:row>
      <xdr:rowOff>117334</xdr:rowOff>
    </xdr:from>
    <xdr:to>
      <xdr:col>11</xdr:col>
      <xdr:colOff>312677</xdr:colOff>
      <xdr:row>9</xdr:row>
      <xdr:rowOff>33513</xdr:rowOff>
    </xdr:to>
    <xdr:pic>
      <xdr:nvPicPr>
        <xdr:cNvPr id="19" name="Picture 18">
          <a:extLst>
            <a:ext uri="{FF2B5EF4-FFF2-40B4-BE49-F238E27FC236}">
              <a16:creationId xmlns:a16="http://schemas.microsoft.com/office/drawing/2014/main" id="{EA56814B-BB4F-4FD3-8250-750BB84EA91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144337" y="1302667"/>
          <a:ext cx="515525" cy="508846"/>
        </a:xfrm>
        <a:prstGeom prst="rect">
          <a:avLst/>
        </a:prstGeom>
      </xdr:spPr>
    </xdr:pic>
    <xdr:clientData/>
  </xdr:twoCellAnchor>
  <xdr:twoCellAnchor>
    <xdr:from>
      <xdr:col>12</xdr:col>
      <xdr:colOff>85893</xdr:colOff>
      <xdr:row>4</xdr:row>
      <xdr:rowOff>177707</xdr:rowOff>
    </xdr:from>
    <xdr:to>
      <xdr:col>14</xdr:col>
      <xdr:colOff>366889</xdr:colOff>
      <xdr:row>6</xdr:row>
      <xdr:rowOff>100900</xdr:rowOff>
    </xdr:to>
    <xdr:sp macro="" textlink="">
      <xdr:nvSpPr>
        <xdr:cNvPr id="20" name="TextBox 19">
          <a:extLst>
            <a:ext uri="{FF2B5EF4-FFF2-40B4-BE49-F238E27FC236}">
              <a16:creationId xmlns:a16="http://schemas.microsoft.com/office/drawing/2014/main" id="{0110B745-A177-4185-B84A-FBDF62BBF501}"/>
            </a:ext>
          </a:extLst>
        </xdr:cNvPr>
        <xdr:cNvSpPr txBox="1"/>
      </xdr:nvSpPr>
      <xdr:spPr>
        <a:xfrm>
          <a:off x="8101004" y="967929"/>
          <a:ext cx="1616848"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Avg</a:t>
          </a:r>
          <a:r>
            <a:rPr lang="en-US" sz="2000" b="1" baseline="0">
              <a:solidFill>
                <a:srgbClr val="05353F"/>
              </a:solidFill>
            </a:rPr>
            <a:t> Job Rate</a:t>
          </a:r>
          <a:endParaRPr lang="en-US" sz="2000" b="1">
            <a:solidFill>
              <a:srgbClr val="05353F"/>
            </a:solidFill>
          </a:endParaRPr>
        </a:p>
      </xdr:txBody>
    </xdr:sp>
    <xdr:clientData/>
  </xdr:twoCellAnchor>
  <xdr:twoCellAnchor>
    <xdr:from>
      <xdr:col>12</xdr:col>
      <xdr:colOff>341770</xdr:colOff>
      <xdr:row>6</xdr:row>
      <xdr:rowOff>132553</xdr:rowOff>
    </xdr:from>
    <xdr:to>
      <xdr:col>13</xdr:col>
      <xdr:colOff>556917</xdr:colOff>
      <xdr:row>8</xdr:row>
      <xdr:rowOff>55746</xdr:rowOff>
    </xdr:to>
    <xdr:sp macro="" textlink="'Pivot Tables &amp; Charts'!J6">
      <xdr:nvSpPr>
        <xdr:cNvPr id="21" name="TextBox 20">
          <a:extLst>
            <a:ext uri="{FF2B5EF4-FFF2-40B4-BE49-F238E27FC236}">
              <a16:creationId xmlns:a16="http://schemas.microsoft.com/office/drawing/2014/main" id="{56195AA1-FAF4-42B5-8B01-ED663E6052F9}"/>
            </a:ext>
          </a:extLst>
        </xdr:cNvPr>
        <xdr:cNvSpPr txBox="1"/>
      </xdr:nvSpPr>
      <xdr:spPr>
        <a:xfrm>
          <a:off x="8356881" y="1317886"/>
          <a:ext cx="883073"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E3BDEC-24EF-43B8-8D57-3FE75510069C}" type="TxLink">
            <a:rPr lang="en-US" sz="2000" b="1" i="0" u="none" strike="noStrike">
              <a:solidFill>
                <a:srgbClr val="05353F"/>
              </a:solidFill>
              <a:latin typeface="Calibri"/>
              <a:ea typeface="Calibri"/>
              <a:cs typeface="Calibri"/>
            </a:rPr>
            <a:pPr/>
            <a:t>3.59</a:t>
          </a:fld>
          <a:endParaRPr lang="en-US" sz="8000" b="1">
            <a:solidFill>
              <a:srgbClr val="05353F"/>
            </a:solidFill>
          </a:endParaRPr>
        </a:p>
      </xdr:txBody>
    </xdr:sp>
    <xdr:clientData/>
  </xdr:twoCellAnchor>
  <xdr:twoCellAnchor>
    <xdr:from>
      <xdr:col>16</xdr:col>
      <xdr:colOff>78366</xdr:colOff>
      <xdr:row>4</xdr:row>
      <xdr:rowOff>151366</xdr:rowOff>
    </xdr:from>
    <xdr:to>
      <xdr:col>18</xdr:col>
      <xdr:colOff>536221</xdr:colOff>
      <xdr:row>6</xdr:row>
      <xdr:rowOff>74559</xdr:rowOff>
    </xdr:to>
    <xdr:sp macro="" textlink="">
      <xdr:nvSpPr>
        <xdr:cNvPr id="23" name="TextBox 22">
          <a:extLst>
            <a:ext uri="{FF2B5EF4-FFF2-40B4-BE49-F238E27FC236}">
              <a16:creationId xmlns:a16="http://schemas.microsoft.com/office/drawing/2014/main" id="{F0BCAFB6-34E4-41C7-85B9-BFF1DFA651EF}"/>
            </a:ext>
          </a:extLst>
        </xdr:cNvPr>
        <xdr:cNvSpPr txBox="1"/>
      </xdr:nvSpPr>
      <xdr:spPr>
        <a:xfrm>
          <a:off x="10765181" y="941588"/>
          <a:ext cx="1793707"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Total</a:t>
          </a:r>
          <a:r>
            <a:rPr lang="en-US" sz="2000" b="1" baseline="0">
              <a:solidFill>
                <a:srgbClr val="05353F"/>
              </a:solidFill>
            </a:rPr>
            <a:t> Overtime</a:t>
          </a:r>
          <a:endParaRPr lang="en-US" sz="2000" b="1">
            <a:solidFill>
              <a:srgbClr val="05353F"/>
            </a:solidFill>
          </a:endParaRPr>
        </a:p>
      </xdr:txBody>
    </xdr:sp>
    <xdr:clientData/>
  </xdr:twoCellAnchor>
  <xdr:twoCellAnchor>
    <xdr:from>
      <xdr:col>16</xdr:col>
      <xdr:colOff>447134</xdr:colOff>
      <xdr:row>6</xdr:row>
      <xdr:rowOff>125028</xdr:rowOff>
    </xdr:from>
    <xdr:to>
      <xdr:col>17</xdr:col>
      <xdr:colOff>662281</xdr:colOff>
      <xdr:row>8</xdr:row>
      <xdr:rowOff>48221</xdr:rowOff>
    </xdr:to>
    <xdr:sp macro="" textlink="'Pivot Tables &amp; Charts'!A10">
      <xdr:nvSpPr>
        <xdr:cNvPr id="24" name="TextBox 23">
          <a:extLst>
            <a:ext uri="{FF2B5EF4-FFF2-40B4-BE49-F238E27FC236}">
              <a16:creationId xmlns:a16="http://schemas.microsoft.com/office/drawing/2014/main" id="{D05A2557-E381-4CF6-BB2A-379C39D147FF}"/>
            </a:ext>
          </a:extLst>
        </xdr:cNvPr>
        <xdr:cNvSpPr txBox="1"/>
      </xdr:nvSpPr>
      <xdr:spPr>
        <a:xfrm>
          <a:off x="11133949" y="1310361"/>
          <a:ext cx="883073"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94E88D-F4DC-48A5-88C1-8B1E5B07C7E1}" type="TxLink">
            <a:rPr lang="en-US" sz="2000" b="1" i="0" u="none" strike="noStrike">
              <a:solidFill>
                <a:srgbClr val="05353F"/>
              </a:solidFill>
              <a:latin typeface="Calibri"/>
              <a:ea typeface="Calibri"/>
              <a:cs typeface="Calibri"/>
            </a:rPr>
            <a:pPr/>
            <a:t>9441</a:t>
          </a:fld>
          <a:endParaRPr lang="en-US" sz="13800" b="1">
            <a:solidFill>
              <a:srgbClr val="05353F"/>
            </a:solidFill>
          </a:endParaRPr>
        </a:p>
      </xdr:txBody>
    </xdr:sp>
    <xdr:clientData/>
  </xdr:twoCellAnchor>
  <xdr:twoCellAnchor editAs="oneCell">
    <xdr:from>
      <xdr:col>18</xdr:col>
      <xdr:colOff>458377</xdr:colOff>
      <xdr:row>5</xdr:row>
      <xdr:rowOff>135350</xdr:rowOff>
    </xdr:from>
    <xdr:to>
      <xdr:col>19</xdr:col>
      <xdr:colOff>401226</xdr:colOff>
      <xdr:row>8</xdr:row>
      <xdr:rowOff>144874</xdr:rowOff>
    </xdr:to>
    <xdr:pic>
      <xdr:nvPicPr>
        <xdr:cNvPr id="25" name="Picture 24">
          <a:extLst>
            <a:ext uri="{FF2B5EF4-FFF2-40B4-BE49-F238E27FC236}">
              <a16:creationId xmlns:a16="http://schemas.microsoft.com/office/drawing/2014/main" id="{14EAFECB-24DD-417D-A988-548F91ABA46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481044" y="1123128"/>
          <a:ext cx="610775" cy="602190"/>
        </a:xfrm>
        <a:prstGeom prst="rect">
          <a:avLst/>
        </a:prstGeom>
      </xdr:spPr>
    </xdr:pic>
    <xdr:clientData/>
  </xdr:twoCellAnchor>
  <xdr:twoCellAnchor>
    <xdr:from>
      <xdr:col>20</xdr:col>
      <xdr:colOff>33210</xdr:colOff>
      <xdr:row>4</xdr:row>
      <xdr:rowOff>162655</xdr:rowOff>
    </xdr:from>
    <xdr:to>
      <xdr:col>22</xdr:col>
      <xdr:colOff>254000</xdr:colOff>
      <xdr:row>6</xdr:row>
      <xdr:rowOff>85848</xdr:rowOff>
    </xdr:to>
    <xdr:sp macro="" textlink="">
      <xdr:nvSpPr>
        <xdr:cNvPr id="26" name="TextBox 25">
          <a:extLst>
            <a:ext uri="{FF2B5EF4-FFF2-40B4-BE49-F238E27FC236}">
              <a16:creationId xmlns:a16="http://schemas.microsoft.com/office/drawing/2014/main" id="{35D49055-2672-4273-90D4-6ED80639B678}"/>
            </a:ext>
          </a:extLst>
        </xdr:cNvPr>
        <xdr:cNvSpPr txBox="1"/>
      </xdr:nvSpPr>
      <xdr:spPr>
        <a:xfrm>
          <a:off x="13391729" y="952877"/>
          <a:ext cx="1556641"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Total</a:t>
          </a:r>
          <a:r>
            <a:rPr lang="en-US" sz="2000" b="1" baseline="0">
              <a:solidFill>
                <a:srgbClr val="05353F"/>
              </a:solidFill>
            </a:rPr>
            <a:t> Leaves</a:t>
          </a:r>
          <a:endParaRPr lang="en-US" sz="2000" b="1">
            <a:solidFill>
              <a:srgbClr val="05353F"/>
            </a:solidFill>
          </a:endParaRPr>
        </a:p>
      </xdr:txBody>
    </xdr:sp>
    <xdr:clientData/>
  </xdr:twoCellAnchor>
  <xdr:twoCellAnchor>
    <xdr:from>
      <xdr:col>20</xdr:col>
      <xdr:colOff>307905</xdr:colOff>
      <xdr:row>6</xdr:row>
      <xdr:rowOff>108093</xdr:rowOff>
    </xdr:from>
    <xdr:to>
      <xdr:col>21</xdr:col>
      <xdr:colOff>523053</xdr:colOff>
      <xdr:row>8</xdr:row>
      <xdr:rowOff>31286</xdr:rowOff>
    </xdr:to>
    <xdr:sp macro="" textlink="'Pivot Tables &amp; Charts'!D10">
      <xdr:nvSpPr>
        <xdr:cNvPr id="28" name="TextBox 27">
          <a:extLst>
            <a:ext uri="{FF2B5EF4-FFF2-40B4-BE49-F238E27FC236}">
              <a16:creationId xmlns:a16="http://schemas.microsoft.com/office/drawing/2014/main" id="{0D59D59B-0E2C-4C7B-A34D-439EDFD5F713}"/>
            </a:ext>
          </a:extLst>
        </xdr:cNvPr>
        <xdr:cNvSpPr txBox="1"/>
      </xdr:nvSpPr>
      <xdr:spPr>
        <a:xfrm>
          <a:off x="13666424" y="1293426"/>
          <a:ext cx="883073"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9C7556-8EE0-483D-8FE0-A7B55309CD5C}" type="TxLink">
            <a:rPr lang="en-US" sz="2000" b="1" i="0" u="none" strike="noStrike">
              <a:solidFill>
                <a:srgbClr val="05353F"/>
              </a:solidFill>
              <a:latin typeface="Calibri"/>
              <a:ea typeface="Calibri"/>
              <a:cs typeface="Calibri"/>
            </a:rPr>
            <a:pPr/>
            <a:t>1632</a:t>
          </a:fld>
          <a:endParaRPr lang="en-US" sz="28700" b="1">
            <a:solidFill>
              <a:srgbClr val="05353F"/>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451557</xdr:colOff>
      <xdr:row>0</xdr:row>
      <xdr:rowOff>141113</xdr:rowOff>
    </xdr:from>
    <xdr:to>
      <xdr:col>23</xdr:col>
      <xdr:colOff>545631</xdr:colOff>
      <xdr:row>5</xdr:row>
      <xdr:rowOff>112889</xdr:rowOff>
    </xdr:to>
    <xdr:sp macro="" textlink="">
      <xdr:nvSpPr>
        <xdr:cNvPr id="2" name="Rectangle: Diagonal Corners Rounded 1">
          <a:extLst>
            <a:ext uri="{FF2B5EF4-FFF2-40B4-BE49-F238E27FC236}">
              <a16:creationId xmlns:a16="http://schemas.microsoft.com/office/drawing/2014/main" id="{204A3033-D75E-4918-914D-9365B18C2E0B}"/>
            </a:ext>
          </a:extLst>
        </xdr:cNvPr>
        <xdr:cNvSpPr/>
      </xdr:nvSpPr>
      <xdr:spPr>
        <a:xfrm>
          <a:off x="2463237" y="141113"/>
          <a:ext cx="13505274" cy="962376"/>
        </a:xfrm>
        <a:prstGeom prst="round2DiagRect">
          <a:avLst/>
        </a:prstGeom>
        <a:solidFill>
          <a:srgbClr val="05353F"/>
        </a:solidFill>
        <a:ln>
          <a:solidFill>
            <a:srgbClr val="01235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496831</xdr:colOff>
      <xdr:row>1</xdr:row>
      <xdr:rowOff>42712</xdr:rowOff>
    </xdr:from>
    <xdr:to>
      <xdr:col>21</xdr:col>
      <xdr:colOff>28575</xdr:colOff>
      <xdr:row>4</xdr:row>
      <xdr:rowOff>84901</xdr:rowOff>
    </xdr:to>
    <xdr:sp macro="" textlink="">
      <xdr:nvSpPr>
        <xdr:cNvPr id="3" name="TextBox 2">
          <a:extLst>
            <a:ext uri="{FF2B5EF4-FFF2-40B4-BE49-F238E27FC236}">
              <a16:creationId xmlns:a16="http://schemas.microsoft.com/office/drawing/2014/main" id="{B44FC00F-C597-4853-B6C0-49CB8D5897B5}"/>
            </a:ext>
          </a:extLst>
        </xdr:cNvPr>
        <xdr:cNvSpPr txBox="1"/>
      </xdr:nvSpPr>
      <xdr:spPr>
        <a:xfrm>
          <a:off x="4497331" y="242737"/>
          <a:ext cx="9532994" cy="642264"/>
        </a:xfrm>
        <a:prstGeom prst="rect">
          <a:avLst/>
        </a:prstGeom>
        <a:solidFill>
          <a:srgbClr val="0535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rgbClr val="F9F6EF"/>
              </a:solidFill>
            </a:rPr>
            <a:t>Employee Workforce Analytics | </a:t>
          </a:r>
          <a:r>
            <a:rPr lang="en-US" sz="3000" b="1">
              <a:solidFill>
                <a:srgbClr val="F8F5EE"/>
              </a:solidFill>
            </a:rPr>
            <a:t>Department</a:t>
          </a:r>
          <a:r>
            <a:rPr lang="en-US" sz="3000" b="1" baseline="0">
              <a:solidFill>
                <a:srgbClr val="F8F5EE"/>
              </a:solidFill>
            </a:rPr>
            <a:t> Analysis</a:t>
          </a:r>
          <a:endParaRPr lang="en-US" sz="3000" b="1">
            <a:solidFill>
              <a:srgbClr val="F8F5EE"/>
            </a:solidFill>
          </a:endParaRPr>
        </a:p>
      </xdr:txBody>
    </xdr:sp>
    <xdr:clientData/>
  </xdr:twoCellAnchor>
  <xdr:twoCellAnchor>
    <xdr:from>
      <xdr:col>0</xdr:col>
      <xdr:colOff>162748</xdr:colOff>
      <xdr:row>0</xdr:row>
      <xdr:rowOff>122295</xdr:rowOff>
    </xdr:from>
    <xdr:to>
      <xdr:col>3</xdr:col>
      <xdr:colOff>348073</xdr:colOff>
      <xdr:row>31</xdr:row>
      <xdr:rowOff>18815</xdr:rowOff>
    </xdr:to>
    <xdr:sp macro="" textlink="">
      <xdr:nvSpPr>
        <xdr:cNvPr id="5" name="Rectangle: Rounded Corners 4">
          <a:extLst>
            <a:ext uri="{FF2B5EF4-FFF2-40B4-BE49-F238E27FC236}">
              <a16:creationId xmlns:a16="http://schemas.microsoft.com/office/drawing/2014/main" id="{35D1B8F8-CA67-4A9C-B368-E90DAC22BA29}"/>
            </a:ext>
          </a:extLst>
        </xdr:cNvPr>
        <xdr:cNvSpPr/>
      </xdr:nvSpPr>
      <xdr:spPr>
        <a:xfrm>
          <a:off x="162748" y="122295"/>
          <a:ext cx="2189103" cy="6020742"/>
        </a:xfrm>
        <a:prstGeom prst="roundRect">
          <a:avLst/>
        </a:prstGeom>
        <a:solidFill>
          <a:srgbClr val="05353F"/>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19</xdr:col>
      <xdr:colOff>629264</xdr:colOff>
      <xdr:row>4</xdr:row>
      <xdr:rowOff>75262</xdr:rowOff>
    </xdr:from>
    <xdr:to>
      <xdr:col>23</xdr:col>
      <xdr:colOff>403197</xdr:colOff>
      <xdr:row>9</xdr:row>
      <xdr:rowOff>13904</xdr:rowOff>
    </xdr:to>
    <xdr:sp macro="" textlink="'Pivot Tables &amp; Charts'!D10">
      <xdr:nvSpPr>
        <xdr:cNvPr id="10" name="Rectangle: Diagonal Corners Rounded 9">
          <a:extLst>
            <a:ext uri="{FF2B5EF4-FFF2-40B4-BE49-F238E27FC236}">
              <a16:creationId xmlns:a16="http://schemas.microsoft.com/office/drawing/2014/main" id="{B428D81D-7537-41E4-A42B-5935D3352F7A}"/>
            </a:ext>
          </a:extLst>
        </xdr:cNvPr>
        <xdr:cNvSpPr/>
      </xdr:nvSpPr>
      <xdr:spPr>
        <a:xfrm>
          <a:off x="13297514" y="875362"/>
          <a:ext cx="2440933" cy="938767"/>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15</xdr:col>
      <xdr:colOff>648080</xdr:colOff>
      <xdr:row>4</xdr:row>
      <xdr:rowOff>91725</xdr:rowOff>
    </xdr:from>
    <xdr:to>
      <xdr:col>19</xdr:col>
      <xdr:colOff>422012</xdr:colOff>
      <xdr:row>9</xdr:row>
      <xdr:rowOff>30367</xdr:rowOff>
    </xdr:to>
    <xdr:sp macro="" textlink="'Pivot Tables &amp; Charts'!A10">
      <xdr:nvSpPr>
        <xdr:cNvPr id="11" name="Rectangle: Diagonal Corners Rounded 10">
          <a:extLst>
            <a:ext uri="{FF2B5EF4-FFF2-40B4-BE49-F238E27FC236}">
              <a16:creationId xmlns:a16="http://schemas.microsoft.com/office/drawing/2014/main" id="{15717869-B98C-4E54-846B-66563C4764F9}"/>
            </a:ext>
          </a:extLst>
        </xdr:cNvPr>
        <xdr:cNvSpPr/>
      </xdr:nvSpPr>
      <xdr:spPr>
        <a:xfrm>
          <a:off x="10666969" y="881947"/>
          <a:ext cx="2445636" cy="926420"/>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11</xdr:col>
      <xdr:colOff>657487</xdr:colOff>
      <xdr:row>4</xdr:row>
      <xdr:rowOff>108188</xdr:rowOff>
    </xdr:from>
    <xdr:to>
      <xdr:col>15</xdr:col>
      <xdr:colOff>424741</xdr:colOff>
      <xdr:row>9</xdr:row>
      <xdr:rowOff>46830</xdr:rowOff>
    </xdr:to>
    <xdr:sp macro="" textlink="'Pivot Tables &amp; Charts'!J6">
      <xdr:nvSpPr>
        <xdr:cNvPr id="12" name="Rectangle: Diagonal Corners Rounded 11">
          <a:extLst>
            <a:ext uri="{FF2B5EF4-FFF2-40B4-BE49-F238E27FC236}">
              <a16:creationId xmlns:a16="http://schemas.microsoft.com/office/drawing/2014/main" id="{D55604C6-CD43-4EB4-9A64-FA226D839D3D}"/>
            </a:ext>
          </a:extLst>
        </xdr:cNvPr>
        <xdr:cNvSpPr/>
      </xdr:nvSpPr>
      <xdr:spPr>
        <a:xfrm>
          <a:off x="8033647" y="900668"/>
          <a:ext cx="2449494" cy="929242"/>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8</xdr:col>
      <xdr:colOff>8376</xdr:colOff>
      <xdr:row>4</xdr:row>
      <xdr:rowOff>141114</xdr:rowOff>
    </xdr:from>
    <xdr:to>
      <xdr:col>11</xdr:col>
      <xdr:colOff>443557</xdr:colOff>
      <xdr:row>9</xdr:row>
      <xdr:rowOff>79756</xdr:rowOff>
    </xdr:to>
    <xdr:sp macro="" textlink="'Pivot Tables &amp; Charts'!G6">
      <xdr:nvSpPr>
        <xdr:cNvPr id="13" name="Rectangle: Diagonal Corners Rounded 12">
          <a:extLst>
            <a:ext uri="{FF2B5EF4-FFF2-40B4-BE49-F238E27FC236}">
              <a16:creationId xmlns:a16="http://schemas.microsoft.com/office/drawing/2014/main" id="{24152A6F-DF95-4236-8204-5F3A302F5F39}"/>
            </a:ext>
          </a:extLst>
        </xdr:cNvPr>
        <xdr:cNvSpPr/>
      </xdr:nvSpPr>
      <xdr:spPr>
        <a:xfrm>
          <a:off x="5372856" y="933594"/>
          <a:ext cx="2446861" cy="929242"/>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3</xdr:col>
      <xdr:colOff>666894</xdr:colOff>
      <xdr:row>4</xdr:row>
      <xdr:rowOff>124651</xdr:rowOff>
    </xdr:from>
    <xdr:to>
      <xdr:col>7</xdr:col>
      <xdr:colOff>434150</xdr:colOff>
      <xdr:row>9</xdr:row>
      <xdr:rowOff>63293</xdr:rowOff>
    </xdr:to>
    <xdr:sp macro="" textlink="'Pivot Tables &amp; Charts'!A6">
      <xdr:nvSpPr>
        <xdr:cNvPr id="14" name="Rectangle: Diagonal Corners Rounded 13">
          <a:extLst>
            <a:ext uri="{FF2B5EF4-FFF2-40B4-BE49-F238E27FC236}">
              <a16:creationId xmlns:a16="http://schemas.microsoft.com/office/drawing/2014/main" id="{82BCAE4C-C126-4218-99D2-AB60690FF5D2}"/>
            </a:ext>
          </a:extLst>
        </xdr:cNvPr>
        <xdr:cNvSpPr/>
      </xdr:nvSpPr>
      <xdr:spPr>
        <a:xfrm>
          <a:off x="2670672" y="914873"/>
          <a:ext cx="2438959" cy="926420"/>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editAs="oneCell">
    <xdr:from>
      <xdr:col>6</xdr:col>
      <xdr:colOff>357363</xdr:colOff>
      <xdr:row>6</xdr:row>
      <xdr:rowOff>38101</xdr:rowOff>
    </xdr:from>
    <xdr:to>
      <xdr:col>7</xdr:col>
      <xdr:colOff>282105</xdr:colOff>
      <xdr:row>9</xdr:row>
      <xdr:rowOff>38101</xdr:rowOff>
    </xdr:to>
    <xdr:pic>
      <xdr:nvPicPr>
        <xdr:cNvPr id="30" name="Picture 29">
          <a:extLst>
            <a:ext uri="{FF2B5EF4-FFF2-40B4-BE49-F238E27FC236}">
              <a16:creationId xmlns:a16="http://schemas.microsoft.com/office/drawing/2014/main" id="{FDF5DF62-9AB0-4DAC-98A2-B1F16BEF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0723" y="1226821"/>
          <a:ext cx="595302" cy="594360"/>
        </a:xfrm>
        <a:prstGeom prst="rect">
          <a:avLst/>
        </a:prstGeom>
      </xdr:spPr>
    </xdr:pic>
    <xdr:clientData/>
  </xdr:twoCellAnchor>
  <xdr:twoCellAnchor editAs="oneCell">
    <xdr:from>
      <xdr:col>14</xdr:col>
      <xdr:colOff>428627</xdr:colOff>
      <xdr:row>5</xdr:row>
      <xdr:rowOff>123827</xdr:rowOff>
    </xdr:from>
    <xdr:to>
      <xdr:col>15</xdr:col>
      <xdr:colOff>381001</xdr:colOff>
      <xdr:row>8</xdr:row>
      <xdr:rowOff>142876</xdr:rowOff>
    </xdr:to>
    <xdr:pic>
      <xdr:nvPicPr>
        <xdr:cNvPr id="34" name="Picture 33">
          <a:extLst>
            <a:ext uri="{FF2B5EF4-FFF2-40B4-BE49-F238E27FC236}">
              <a16:creationId xmlns:a16="http://schemas.microsoft.com/office/drawing/2014/main" id="{AE6219A1-6D1D-4474-AF73-DB157EB5C6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63127" y="1123952"/>
          <a:ext cx="619124" cy="619124"/>
        </a:xfrm>
        <a:prstGeom prst="rect">
          <a:avLst/>
        </a:prstGeom>
      </xdr:spPr>
    </xdr:pic>
    <xdr:clientData/>
  </xdr:twoCellAnchor>
  <xdr:twoCellAnchor>
    <xdr:from>
      <xdr:col>3</xdr:col>
      <xdr:colOff>545864</xdr:colOff>
      <xdr:row>9</xdr:row>
      <xdr:rowOff>159573</xdr:rowOff>
    </xdr:from>
    <xdr:to>
      <xdr:col>8</xdr:col>
      <xdr:colOff>304800</xdr:colOff>
      <xdr:row>31</xdr:row>
      <xdr:rowOff>9054</xdr:rowOff>
    </xdr:to>
    <xdr:grpSp>
      <xdr:nvGrpSpPr>
        <xdr:cNvPr id="48" name="Group 47">
          <a:extLst>
            <a:ext uri="{FF2B5EF4-FFF2-40B4-BE49-F238E27FC236}">
              <a16:creationId xmlns:a16="http://schemas.microsoft.com/office/drawing/2014/main" id="{2712A433-26C5-B29C-ECE3-18B4318C7BF7}"/>
            </a:ext>
          </a:extLst>
        </xdr:cNvPr>
        <xdr:cNvGrpSpPr/>
      </xdr:nvGrpSpPr>
      <xdr:grpSpPr>
        <a:xfrm>
          <a:off x="2549642" y="1937573"/>
          <a:ext cx="3098565" cy="4195703"/>
          <a:chOff x="2527064" y="1988373"/>
          <a:chExt cx="2685816" cy="4250031"/>
        </a:xfrm>
      </xdr:grpSpPr>
      <xdr:sp macro="" textlink="">
        <xdr:nvSpPr>
          <xdr:cNvPr id="28" name="Rectangle: Rounded Corners 27">
            <a:extLst>
              <a:ext uri="{FF2B5EF4-FFF2-40B4-BE49-F238E27FC236}">
                <a16:creationId xmlns:a16="http://schemas.microsoft.com/office/drawing/2014/main" id="{269461AA-E6B6-37A1-67D9-0A2EA0467369}"/>
              </a:ext>
            </a:extLst>
          </xdr:cNvPr>
          <xdr:cNvSpPr/>
        </xdr:nvSpPr>
        <xdr:spPr>
          <a:xfrm>
            <a:off x="2527064" y="1988373"/>
            <a:ext cx="2685816" cy="4250031"/>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6CAE9175-EF19-4FBA-A99B-6AAA25698CA4}"/>
              </a:ext>
            </a:extLst>
          </xdr:cNvPr>
          <xdr:cNvGraphicFramePr>
            <a:graphicFrameLocks/>
          </xdr:cNvGraphicFramePr>
        </xdr:nvGraphicFramePr>
        <xdr:xfrm>
          <a:off x="2619376" y="2209800"/>
          <a:ext cx="2505074" cy="374332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466725</xdr:colOff>
      <xdr:row>9</xdr:row>
      <xdr:rowOff>188148</xdr:rowOff>
    </xdr:from>
    <xdr:to>
      <xdr:col>13</xdr:col>
      <xdr:colOff>381000</xdr:colOff>
      <xdr:row>31</xdr:row>
      <xdr:rowOff>19050</xdr:rowOff>
    </xdr:to>
    <xdr:grpSp>
      <xdr:nvGrpSpPr>
        <xdr:cNvPr id="47" name="Group 46">
          <a:extLst>
            <a:ext uri="{FF2B5EF4-FFF2-40B4-BE49-F238E27FC236}">
              <a16:creationId xmlns:a16="http://schemas.microsoft.com/office/drawing/2014/main" id="{9FDF87AD-E4C9-B5D6-C510-E330617F8AA1}"/>
            </a:ext>
          </a:extLst>
        </xdr:cNvPr>
        <xdr:cNvGrpSpPr/>
      </xdr:nvGrpSpPr>
      <xdr:grpSpPr>
        <a:xfrm>
          <a:off x="5810132" y="1966148"/>
          <a:ext cx="3253905" cy="4177124"/>
          <a:chOff x="5352815" y="1988373"/>
          <a:chExt cx="2552935" cy="4231452"/>
        </a:xfrm>
      </xdr:grpSpPr>
      <xdr:sp macro="" textlink="">
        <xdr:nvSpPr>
          <xdr:cNvPr id="16" name="Rectangle: Rounded Corners 15">
            <a:extLst>
              <a:ext uri="{FF2B5EF4-FFF2-40B4-BE49-F238E27FC236}">
                <a16:creationId xmlns:a16="http://schemas.microsoft.com/office/drawing/2014/main" id="{8F207C2F-F070-14AC-35A2-FD9A1967EBBE}"/>
              </a:ext>
            </a:extLst>
          </xdr:cNvPr>
          <xdr:cNvSpPr/>
        </xdr:nvSpPr>
        <xdr:spPr>
          <a:xfrm>
            <a:off x="5352815" y="1988373"/>
            <a:ext cx="2552935" cy="4231452"/>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0" name="Chart 39">
            <a:extLst>
              <a:ext uri="{FF2B5EF4-FFF2-40B4-BE49-F238E27FC236}">
                <a16:creationId xmlns:a16="http://schemas.microsoft.com/office/drawing/2014/main" id="{1E9C12E2-1006-4B97-B066-B1C0997BF326}"/>
              </a:ext>
            </a:extLst>
          </xdr:cNvPr>
          <xdr:cNvGraphicFramePr>
            <a:graphicFrameLocks/>
          </xdr:cNvGraphicFramePr>
        </xdr:nvGraphicFramePr>
        <xdr:xfrm>
          <a:off x="5427021" y="2247900"/>
          <a:ext cx="2400947" cy="36385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13</xdr:col>
      <xdr:colOff>561975</xdr:colOff>
      <xdr:row>10</xdr:row>
      <xdr:rowOff>16698</xdr:rowOff>
    </xdr:from>
    <xdr:to>
      <xdr:col>18</xdr:col>
      <xdr:colOff>466725</xdr:colOff>
      <xdr:row>31</xdr:row>
      <xdr:rowOff>47625</xdr:rowOff>
    </xdr:to>
    <xdr:grpSp>
      <xdr:nvGrpSpPr>
        <xdr:cNvPr id="46" name="Group 45">
          <a:extLst>
            <a:ext uri="{FF2B5EF4-FFF2-40B4-BE49-F238E27FC236}">
              <a16:creationId xmlns:a16="http://schemas.microsoft.com/office/drawing/2014/main" id="{787F7782-C0C7-2E00-525A-D6EAEE6B8686}"/>
            </a:ext>
          </a:extLst>
        </xdr:cNvPr>
        <xdr:cNvGrpSpPr/>
      </xdr:nvGrpSpPr>
      <xdr:grpSpPr>
        <a:xfrm>
          <a:off x="9245012" y="1992254"/>
          <a:ext cx="3244380" cy="4179593"/>
          <a:chOff x="8086490" y="1959798"/>
          <a:chExt cx="2686285" cy="4231452"/>
        </a:xfrm>
      </xdr:grpSpPr>
      <xdr:sp macro="" textlink="">
        <xdr:nvSpPr>
          <xdr:cNvPr id="41" name="Rectangle: Rounded Corners 40">
            <a:extLst>
              <a:ext uri="{FF2B5EF4-FFF2-40B4-BE49-F238E27FC236}">
                <a16:creationId xmlns:a16="http://schemas.microsoft.com/office/drawing/2014/main" id="{E316AA41-F9BC-45E2-A75B-2AD2E3C31FF5}"/>
              </a:ext>
            </a:extLst>
          </xdr:cNvPr>
          <xdr:cNvSpPr/>
        </xdr:nvSpPr>
        <xdr:spPr>
          <a:xfrm>
            <a:off x="8086490" y="1959798"/>
            <a:ext cx="2686285" cy="4231452"/>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F5966BDC-3B8C-4518-865B-0EE6855DA60E}"/>
              </a:ext>
            </a:extLst>
          </xdr:cNvPr>
          <xdr:cNvGraphicFramePr>
            <a:graphicFrameLocks/>
          </xdr:cNvGraphicFramePr>
        </xdr:nvGraphicFramePr>
        <xdr:xfrm>
          <a:off x="8162926" y="2228849"/>
          <a:ext cx="2533649" cy="373380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19</xdr:col>
      <xdr:colOff>37865</xdr:colOff>
      <xdr:row>9</xdr:row>
      <xdr:rowOff>197673</xdr:rowOff>
    </xdr:from>
    <xdr:to>
      <xdr:col>23</xdr:col>
      <xdr:colOff>495300</xdr:colOff>
      <xdr:row>31</xdr:row>
      <xdr:rowOff>28575</xdr:rowOff>
    </xdr:to>
    <xdr:grpSp>
      <xdr:nvGrpSpPr>
        <xdr:cNvPr id="45" name="Group 44">
          <a:extLst>
            <a:ext uri="{FF2B5EF4-FFF2-40B4-BE49-F238E27FC236}">
              <a16:creationId xmlns:a16="http://schemas.microsoft.com/office/drawing/2014/main" id="{1B57D1FA-9B6A-46C1-C311-2A0DB09CD5C7}"/>
            </a:ext>
          </a:extLst>
        </xdr:cNvPr>
        <xdr:cNvGrpSpPr/>
      </xdr:nvGrpSpPr>
      <xdr:grpSpPr>
        <a:xfrm>
          <a:off x="12728458" y="1975673"/>
          <a:ext cx="3129138" cy="4177124"/>
          <a:chOff x="10982090" y="1921698"/>
          <a:chExt cx="2686285" cy="4231452"/>
        </a:xfrm>
      </xdr:grpSpPr>
      <xdr:sp macro="" textlink="">
        <xdr:nvSpPr>
          <xdr:cNvPr id="43" name="Rectangle: Rounded Corners 42">
            <a:extLst>
              <a:ext uri="{FF2B5EF4-FFF2-40B4-BE49-F238E27FC236}">
                <a16:creationId xmlns:a16="http://schemas.microsoft.com/office/drawing/2014/main" id="{6797AFCE-9499-4C2E-AE6B-566C3B3CCDC5}"/>
              </a:ext>
            </a:extLst>
          </xdr:cNvPr>
          <xdr:cNvSpPr/>
        </xdr:nvSpPr>
        <xdr:spPr>
          <a:xfrm>
            <a:off x="10982090" y="1921698"/>
            <a:ext cx="2686285" cy="4231452"/>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4" name="Chart 43">
            <a:extLst>
              <a:ext uri="{FF2B5EF4-FFF2-40B4-BE49-F238E27FC236}">
                <a16:creationId xmlns:a16="http://schemas.microsoft.com/office/drawing/2014/main" id="{4E8EE325-24F4-435E-A11D-C1045AA2803C}"/>
              </a:ext>
            </a:extLst>
          </xdr:cNvPr>
          <xdr:cNvGraphicFramePr>
            <a:graphicFrameLocks/>
          </xdr:cNvGraphicFramePr>
        </xdr:nvGraphicFramePr>
        <xdr:xfrm>
          <a:off x="11067815" y="2236023"/>
          <a:ext cx="2552935" cy="3650427"/>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4</xdr:col>
      <xdr:colOff>249414</xdr:colOff>
      <xdr:row>0</xdr:row>
      <xdr:rowOff>181092</xdr:rowOff>
    </xdr:from>
    <xdr:to>
      <xdr:col>7</xdr:col>
      <xdr:colOff>77965</xdr:colOff>
      <xdr:row>4</xdr:row>
      <xdr:rowOff>84667</xdr:rowOff>
    </xdr:to>
    <mc:AlternateContent xmlns:mc="http://schemas.openxmlformats.org/markup-compatibility/2006" xmlns:a14="http://schemas.microsoft.com/office/drawing/2010/main">
      <mc:Choice Requires="a14">
        <xdr:graphicFrame macro="">
          <xdr:nvGraphicFramePr>
            <xdr:cNvPr id="49" name="Gender 1">
              <a:extLst>
                <a:ext uri="{FF2B5EF4-FFF2-40B4-BE49-F238E27FC236}">
                  <a16:creationId xmlns:a16="http://schemas.microsoft.com/office/drawing/2014/main" id="{4714FB32-5C8F-4342-82DD-B134BF82F21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921118" y="181092"/>
              <a:ext cx="1832328" cy="693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333613</xdr:colOff>
      <xdr:row>18</xdr:row>
      <xdr:rowOff>131705</xdr:rowOff>
    </xdr:from>
    <xdr:to>
      <xdr:col>3</xdr:col>
      <xdr:colOff>197556</xdr:colOff>
      <xdr:row>23</xdr:row>
      <xdr:rowOff>105599</xdr:rowOff>
    </xdr:to>
    <mc:AlternateContent xmlns:mc="http://schemas.openxmlformats.org/markup-compatibility/2006" xmlns:a14="http://schemas.microsoft.com/office/drawing/2010/main">
      <mc:Choice Requires="a14">
        <xdr:graphicFrame macro="">
          <xdr:nvGraphicFramePr>
            <xdr:cNvPr id="15" name="Experience Group 2">
              <a:extLst>
                <a:ext uri="{FF2B5EF4-FFF2-40B4-BE49-F238E27FC236}">
                  <a16:creationId xmlns:a16="http://schemas.microsoft.com/office/drawing/2014/main" id="{8FB0A2E7-92AE-4BCA-82F4-1E60792E877C}"/>
                </a:ext>
              </a:extLst>
            </xdr:cNvPr>
            <xdr:cNvGraphicFramePr/>
          </xdr:nvGraphicFramePr>
          <xdr:xfrm>
            <a:off x="0" y="0"/>
            <a:ext cx="0" cy="0"/>
          </xdr:xfrm>
          <a:graphic>
            <a:graphicData uri="http://schemas.microsoft.com/office/drawing/2010/slicer">
              <sle:slicer xmlns:sle="http://schemas.microsoft.com/office/drawing/2010/slicer" name="Experience Group 2"/>
            </a:graphicData>
          </a:graphic>
        </xdr:graphicFrame>
      </mc:Choice>
      <mc:Fallback xmlns="">
        <xdr:sp macro="" textlink="">
          <xdr:nvSpPr>
            <xdr:cNvPr id="0" name=""/>
            <xdr:cNvSpPr>
              <a:spLocks noTextEdit="1"/>
            </xdr:cNvSpPr>
          </xdr:nvSpPr>
          <xdr:spPr>
            <a:xfrm>
              <a:off x="333613" y="3687705"/>
              <a:ext cx="1867721" cy="961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343842</xdr:colOff>
      <xdr:row>12</xdr:row>
      <xdr:rowOff>92778</xdr:rowOff>
    </xdr:from>
    <xdr:to>
      <xdr:col>3</xdr:col>
      <xdr:colOff>179676</xdr:colOff>
      <xdr:row>18</xdr:row>
      <xdr:rowOff>39627</xdr:rowOff>
    </xdr:to>
    <mc:AlternateContent xmlns:mc="http://schemas.openxmlformats.org/markup-compatibility/2006" xmlns:a14="http://schemas.microsoft.com/office/drawing/2010/main">
      <mc:Choice Requires="a14">
        <xdr:graphicFrame macro="">
          <xdr:nvGraphicFramePr>
            <xdr:cNvPr id="17" name="Country 1">
              <a:extLst>
                <a:ext uri="{FF2B5EF4-FFF2-40B4-BE49-F238E27FC236}">
                  <a16:creationId xmlns:a16="http://schemas.microsoft.com/office/drawing/2014/main" id="{0E4A11C5-7AC9-4091-BE3A-E1989D9F418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43842" y="2463445"/>
              <a:ext cx="1839612" cy="1132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362068</xdr:colOff>
      <xdr:row>1</xdr:row>
      <xdr:rowOff>48331</xdr:rowOff>
    </xdr:from>
    <xdr:to>
      <xdr:col>3</xdr:col>
      <xdr:colOff>186071</xdr:colOff>
      <xdr:row>11</xdr:row>
      <xdr:rowOff>188148</xdr:rowOff>
    </xdr:to>
    <mc:AlternateContent xmlns:mc="http://schemas.openxmlformats.org/markup-compatibility/2006" xmlns:a14="http://schemas.microsoft.com/office/drawing/2010/main">
      <mc:Choice Requires="a14">
        <xdr:graphicFrame macro="">
          <xdr:nvGraphicFramePr>
            <xdr:cNvPr id="18" name="Department 5">
              <a:extLst>
                <a:ext uri="{FF2B5EF4-FFF2-40B4-BE49-F238E27FC236}">
                  <a16:creationId xmlns:a16="http://schemas.microsoft.com/office/drawing/2014/main" id="{1F0CFFC7-BC38-493D-BCCB-07CAC3894965}"/>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362068" y="245887"/>
              <a:ext cx="1827781" cy="2115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310447</xdr:colOff>
      <xdr:row>24</xdr:row>
      <xdr:rowOff>1</xdr:rowOff>
    </xdr:from>
    <xdr:to>
      <xdr:col>3</xdr:col>
      <xdr:colOff>188149</xdr:colOff>
      <xdr:row>30</xdr:row>
      <xdr:rowOff>56444</xdr:rowOff>
    </xdr:to>
    <mc:AlternateContent xmlns:mc="http://schemas.openxmlformats.org/markup-compatibility/2006" xmlns:a14="http://schemas.microsoft.com/office/drawing/2010/main">
      <mc:Choice Requires="a14">
        <xdr:graphicFrame macro="">
          <xdr:nvGraphicFramePr>
            <xdr:cNvPr id="20" name="Salary Classification 2">
              <a:extLst>
                <a:ext uri="{FF2B5EF4-FFF2-40B4-BE49-F238E27FC236}">
                  <a16:creationId xmlns:a16="http://schemas.microsoft.com/office/drawing/2014/main" id="{1249720C-24C9-4F71-A58C-C5A0D2E49CE8}"/>
                </a:ext>
              </a:extLst>
            </xdr:cNvPr>
            <xdr:cNvGraphicFramePr/>
          </xdr:nvGraphicFramePr>
          <xdr:xfrm>
            <a:off x="0" y="0"/>
            <a:ext cx="0" cy="0"/>
          </xdr:xfrm>
          <a:graphic>
            <a:graphicData uri="http://schemas.microsoft.com/office/drawing/2010/slicer">
              <sle:slicer xmlns:sle="http://schemas.microsoft.com/office/drawing/2010/slicer" name="Salary Classification 2"/>
            </a:graphicData>
          </a:graphic>
        </xdr:graphicFrame>
      </mc:Choice>
      <mc:Fallback xmlns="">
        <xdr:sp macro="" textlink="">
          <xdr:nvSpPr>
            <xdr:cNvPr id="0" name=""/>
            <xdr:cNvSpPr>
              <a:spLocks noTextEdit="1"/>
            </xdr:cNvSpPr>
          </xdr:nvSpPr>
          <xdr:spPr>
            <a:xfrm>
              <a:off x="310447" y="4741334"/>
              <a:ext cx="1881480" cy="1241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121264</xdr:colOff>
      <xdr:row>4</xdr:row>
      <xdr:rowOff>171688</xdr:rowOff>
    </xdr:from>
    <xdr:to>
      <xdr:col>7</xdr:col>
      <xdr:colOff>173923</xdr:colOff>
      <xdr:row>6</xdr:row>
      <xdr:rowOff>94881</xdr:rowOff>
    </xdr:to>
    <xdr:sp macro="" textlink="">
      <xdr:nvSpPr>
        <xdr:cNvPr id="6" name="TextBox 5">
          <a:extLst>
            <a:ext uri="{FF2B5EF4-FFF2-40B4-BE49-F238E27FC236}">
              <a16:creationId xmlns:a16="http://schemas.microsoft.com/office/drawing/2014/main" id="{996A5CB0-4F40-4CD5-BACE-921F9F4F23F6}"/>
            </a:ext>
          </a:extLst>
        </xdr:cNvPr>
        <xdr:cNvSpPr txBox="1"/>
      </xdr:nvSpPr>
      <xdr:spPr>
        <a:xfrm>
          <a:off x="2792968" y="961910"/>
          <a:ext cx="2056436"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Total Employees</a:t>
          </a:r>
        </a:p>
      </xdr:txBody>
    </xdr:sp>
    <xdr:clientData/>
  </xdr:twoCellAnchor>
  <xdr:twoCellAnchor>
    <xdr:from>
      <xdr:col>4</xdr:col>
      <xdr:colOff>395961</xdr:colOff>
      <xdr:row>6</xdr:row>
      <xdr:rowOff>145347</xdr:rowOff>
    </xdr:from>
    <xdr:to>
      <xdr:col>6</xdr:col>
      <xdr:colOff>28222</xdr:colOff>
      <xdr:row>8</xdr:row>
      <xdr:rowOff>68540</xdr:rowOff>
    </xdr:to>
    <xdr:sp macro="" textlink="'Pivot Tables &amp; Charts'!A6">
      <xdr:nvSpPr>
        <xdr:cNvPr id="7" name="TextBox 6">
          <a:extLst>
            <a:ext uri="{FF2B5EF4-FFF2-40B4-BE49-F238E27FC236}">
              <a16:creationId xmlns:a16="http://schemas.microsoft.com/office/drawing/2014/main" id="{3E8ABC90-78E2-40EF-8122-9299E96A8CF7}"/>
            </a:ext>
          </a:extLst>
        </xdr:cNvPr>
        <xdr:cNvSpPr txBox="1"/>
      </xdr:nvSpPr>
      <xdr:spPr>
        <a:xfrm>
          <a:off x="3067665" y="1330680"/>
          <a:ext cx="968113"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F2FC5-9417-4420-B1DF-A9F047EDB31A}" type="TxLink">
            <a:rPr lang="en-US" sz="2000" b="1" i="0" u="none" strike="noStrike">
              <a:solidFill>
                <a:srgbClr val="05353F"/>
              </a:solidFill>
              <a:latin typeface="Calibri"/>
              <a:ea typeface="Calibri"/>
              <a:cs typeface="Calibri"/>
            </a:rPr>
            <a:pPr/>
            <a:t>689</a:t>
          </a:fld>
          <a:endParaRPr lang="en-US" sz="3600" b="1">
            <a:solidFill>
              <a:srgbClr val="05353F"/>
            </a:solidFill>
          </a:endParaRPr>
        </a:p>
      </xdr:txBody>
    </xdr:sp>
    <xdr:clientData/>
  </xdr:twoCellAnchor>
  <xdr:twoCellAnchor>
    <xdr:from>
      <xdr:col>8</xdr:col>
      <xdr:colOff>76110</xdr:colOff>
      <xdr:row>4</xdr:row>
      <xdr:rowOff>192384</xdr:rowOff>
    </xdr:from>
    <xdr:to>
      <xdr:col>11</xdr:col>
      <xdr:colOff>329260</xdr:colOff>
      <xdr:row>6</xdr:row>
      <xdr:rowOff>115577</xdr:rowOff>
    </xdr:to>
    <xdr:sp macro="" textlink="">
      <xdr:nvSpPr>
        <xdr:cNvPr id="8" name="TextBox 7">
          <a:extLst>
            <a:ext uri="{FF2B5EF4-FFF2-40B4-BE49-F238E27FC236}">
              <a16:creationId xmlns:a16="http://schemas.microsoft.com/office/drawing/2014/main" id="{3B28ACC9-0891-4C39-A9F2-BAEDA2D451AC}"/>
            </a:ext>
          </a:extLst>
        </xdr:cNvPr>
        <xdr:cNvSpPr txBox="1"/>
      </xdr:nvSpPr>
      <xdr:spPr>
        <a:xfrm>
          <a:off x="5419517" y="982606"/>
          <a:ext cx="2256928"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Avg</a:t>
          </a:r>
          <a:r>
            <a:rPr lang="en-US" sz="2000" b="1" baseline="0">
              <a:solidFill>
                <a:srgbClr val="05353F"/>
              </a:solidFill>
            </a:rPr>
            <a:t> Monthly Salary</a:t>
          </a:r>
          <a:endParaRPr lang="en-US" sz="2000" b="1">
            <a:solidFill>
              <a:srgbClr val="05353F"/>
            </a:solidFill>
          </a:endParaRPr>
        </a:p>
      </xdr:txBody>
    </xdr:sp>
    <xdr:clientData/>
  </xdr:twoCellAnchor>
  <xdr:twoCellAnchor>
    <xdr:from>
      <xdr:col>8</xdr:col>
      <xdr:colOff>379028</xdr:colOff>
      <xdr:row>6</xdr:row>
      <xdr:rowOff>166044</xdr:rowOff>
    </xdr:from>
    <xdr:to>
      <xdr:col>10</xdr:col>
      <xdr:colOff>11289</xdr:colOff>
      <xdr:row>8</xdr:row>
      <xdr:rowOff>89237</xdr:rowOff>
    </xdr:to>
    <xdr:sp macro="" textlink="'Pivot Tables &amp; Charts'!G6">
      <xdr:nvSpPr>
        <xdr:cNvPr id="9" name="TextBox 8">
          <a:extLst>
            <a:ext uri="{FF2B5EF4-FFF2-40B4-BE49-F238E27FC236}">
              <a16:creationId xmlns:a16="http://schemas.microsoft.com/office/drawing/2014/main" id="{1D9A4153-CEDB-4CEA-BD04-52CA0433A851}"/>
            </a:ext>
          </a:extLst>
        </xdr:cNvPr>
        <xdr:cNvSpPr txBox="1"/>
      </xdr:nvSpPr>
      <xdr:spPr>
        <a:xfrm>
          <a:off x="5722435" y="1351377"/>
          <a:ext cx="968113"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B3A12B-4597-4ACE-9170-10D9B00B3DB7}" type="TxLink">
            <a:rPr lang="en-US" sz="2000" b="1" i="0" u="none" strike="noStrike">
              <a:solidFill>
                <a:srgbClr val="05353F"/>
              </a:solidFill>
              <a:latin typeface="Calibri"/>
              <a:ea typeface="Calibri"/>
              <a:cs typeface="Calibri"/>
            </a:rPr>
            <a:pPr/>
            <a:t>2,068</a:t>
          </a:fld>
          <a:endParaRPr lang="en-US" sz="5400" b="1">
            <a:solidFill>
              <a:srgbClr val="05353F"/>
            </a:solidFill>
          </a:endParaRPr>
        </a:p>
      </xdr:txBody>
    </xdr:sp>
    <xdr:clientData/>
  </xdr:twoCellAnchor>
  <xdr:twoCellAnchor editAs="oneCell">
    <xdr:from>
      <xdr:col>10</xdr:col>
      <xdr:colOff>436387</xdr:colOff>
      <xdr:row>6</xdr:row>
      <xdr:rowOff>91135</xdr:rowOff>
    </xdr:from>
    <xdr:to>
      <xdr:col>11</xdr:col>
      <xdr:colOff>283986</xdr:colOff>
      <xdr:row>9</xdr:row>
      <xdr:rowOff>7878</xdr:rowOff>
    </xdr:to>
    <xdr:pic>
      <xdr:nvPicPr>
        <xdr:cNvPr id="19" name="Picture 18">
          <a:extLst>
            <a:ext uri="{FF2B5EF4-FFF2-40B4-BE49-F238E27FC236}">
              <a16:creationId xmlns:a16="http://schemas.microsoft.com/office/drawing/2014/main" id="{F7A2A0F7-434B-42CB-A807-4025CFEB010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115646" y="1276468"/>
          <a:ext cx="515525" cy="509410"/>
        </a:xfrm>
        <a:prstGeom prst="rect">
          <a:avLst/>
        </a:prstGeom>
      </xdr:spPr>
    </xdr:pic>
    <xdr:clientData/>
  </xdr:twoCellAnchor>
  <xdr:twoCellAnchor>
    <xdr:from>
      <xdr:col>12</xdr:col>
      <xdr:colOff>87399</xdr:colOff>
      <xdr:row>4</xdr:row>
      <xdr:rowOff>166044</xdr:rowOff>
    </xdr:from>
    <xdr:to>
      <xdr:col>14</xdr:col>
      <xdr:colOff>395111</xdr:colOff>
      <xdr:row>6</xdr:row>
      <xdr:rowOff>89237</xdr:rowOff>
    </xdr:to>
    <xdr:sp macro="" textlink="">
      <xdr:nvSpPr>
        <xdr:cNvPr id="21" name="TextBox 20">
          <a:extLst>
            <a:ext uri="{FF2B5EF4-FFF2-40B4-BE49-F238E27FC236}">
              <a16:creationId xmlns:a16="http://schemas.microsoft.com/office/drawing/2014/main" id="{64979E13-F656-4B71-8BC6-EA662B514CEB}"/>
            </a:ext>
          </a:extLst>
        </xdr:cNvPr>
        <xdr:cNvSpPr txBox="1"/>
      </xdr:nvSpPr>
      <xdr:spPr>
        <a:xfrm>
          <a:off x="8102510" y="956266"/>
          <a:ext cx="1643564"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Avg</a:t>
          </a:r>
          <a:r>
            <a:rPr lang="en-US" sz="2000" b="1" baseline="0">
              <a:solidFill>
                <a:srgbClr val="05353F"/>
              </a:solidFill>
            </a:rPr>
            <a:t> Job Rate</a:t>
          </a:r>
          <a:endParaRPr lang="en-US" sz="2000" b="1">
            <a:solidFill>
              <a:srgbClr val="05353F"/>
            </a:solidFill>
          </a:endParaRPr>
        </a:p>
      </xdr:txBody>
    </xdr:sp>
    <xdr:clientData/>
  </xdr:twoCellAnchor>
  <xdr:twoCellAnchor>
    <xdr:from>
      <xdr:col>12</xdr:col>
      <xdr:colOff>380908</xdr:colOff>
      <xdr:row>6</xdr:row>
      <xdr:rowOff>149111</xdr:rowOff>
    </xdr:from>
    <xdr:to>
      <xdr:col>14</xdr:col>
      <xdr:colOff>13169</xdr:colOff>
      <xdr:row>8</xdr:row>
      <xdr:rowOff>72304</xdr:rowOff>
    </xdr:to>
    <xdr:sp macro="" textlink="'Pivot Tables &amp; Charts'!J6">
      <xdr:nvSpPr>
        <xdr:cNvPr id="22" name="TextBox 21">
          <a:extLst>
            <a:ext uri="{FF2B5EF4-FFF2-40B4-BE49-F238E27FC236}">
              <a16:creationId xmlns:a16="http://schemas.microsoft.com/office/drawing/2014/main" id="{818B9FDF-0B93-4325-8BD6-75E6D8BF4C64}"/>
            </a:ext>
          </a:extLst>
        </xdr:cNvPr>
        <xdr:cNvSpPr txBox="1"/>
      </xdr:nvSpPr>
      <xdr:spPr>
        <a:xfrm>
          <a:off x="8396019" y="1334444"/>
          <a:ext cx="968113"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7AA98B-F1BF-48C8-8C94-62B663681EBF}" type="TxLink">
            <a:rPr lang="en-US" sz="2000" b="1" i="0" u="none" strike="noStrike">
              <a:solidFill>
                <a:srgbClr val="05353F"/>
              </a:solidFill>
              <a:latin typeface="Calibri"/>
              <a:ea typeface="Calibri"/>
              <a:cs typeface="Calibri"/>
            </a:rPr>
            <a:pPr/>
            <a:t>3.59</a:t>
          </a:fld>
          <a:endParaRPr lang="en-US" sz="8000" b="1">
            <a:solidFill>
              <a:srgbClr val="05353F"/>
            </a:solidFill>
          </a:endParaRPr>
        </a:p>
      </xdr:txBody>
    </xdr:sp>
    <xdr:clientData/>
  </xdr:twoCellAnchor>
  <xdr:twoCellAnchor>
    <xdr:from>
      <xdr:col>16</xdr:col>
      <xdr:colOff>79872</xdr:colOff>
      <xdr:row>4</xdr:row>
      <xdr:rowOff>167925</xdr:rowOff>
    </xdr:from>
    <xdr:to>
      <xdr:col>18</xdr:col>
      <xdr:colOff>573852</xdr:colOff>
      <xdr:row>6</xdr:row>
      <xdr:rowOff>91118</xdr:rowOff>
    </xdr:to>
    <xdr:sp macro="" textlink="">
      <xdr:nvSpPr>
        <xdr:cNvPr id="23" name="TextBox 22">
          <a:extLst>
            <a:ext uri="{FF2B5EF4-FFF2-40B4-BE49-F238E27FC236}">
              <a16:creationId xmlns:a16="http://schemas.microsoft.com/office/drawing/2014/main" id="{6BBE2503-256C-4B03-8219-9B03A7AF117E}"/>
            </a:ext>
          </a:extLst>
        </xdr:cNvPr>
        <xdr:cNvSpPr txBox="1"/>
      </xdr:nvSpPr>
      <xdr:spPr>
        <a:xfrm>
          <a:off x="10766687" y="958147"/>
          <a:ext cx="1829832"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Total</a:t>
          </a:r>
          <a:r>
            <a:rPr lang="en-US" sz="2000" b="1" baseline="0">
              <a:solidFill>
                <a:srgbClr val="05353F"/>
              </a:solidFill>
            </a:rPr>
            <a:t> Overtime</a:t>
          </a:r>
          <a:endParaRPr lang="en-US" sz="2000" b="1">
            <a:solidFill>
              <a:srgbClr val="05353F"/>
            </a:solidFill>
          </a:endParaRPr>
        </a:p>
      </xdr:txBody>
    </xdr:sp>
    <xdr:clientData/>
  </xdr:twoCellAnchor>
  <xdr:twoCellAnchor>
    <xdr:from>
      <xdr:col>16</xdr:col>
      <xdr:colOff>363974</xdr:colOff>
      <xdr:row>6</xdr:row>
      <xdr:rowOff>132177</xdr:rowOff>
    </xdr:from>
    <xdr:to>
      <xdr:col>17</xdr:col>
      <xdr:colOff>664161</xdr:colOff>
      <xdr:row>8</xdr:row>
      <xdr:rowOff>55370</xdr:rowOff>
    </xdr:to>
    <xdr:sp macro="" textlink="'Pivot Tables &amp; Charts'!A10">
      <xdr:nvSpPr>
        <xdr:cNvPr id="24" name="TextBox 23">
          <a:extLst>
            <a:ext uri="{FF2B5EF4-FFF2-40B4-BE49-F238E27FC236}">
              <a16:creationId xmlns:a16="http://schemas.microsoft.com/office/drawing/2014/main" id="{FB593027-B6AE-476E-BCAB-33CFEB976DB4}"/>
            </a:ext>
          </a:extLst>
        </xdr:cNvPr>
        <xdr:cNvSpPr txBox="1"/>
      </xdr:nvSpPr>
      <xdr:spPr>
        <a:xfrm>
          <a:off x="11050789" y="1317510"/>
          <a:ext cx="968113"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360A77-19AD-4CD1-A09A-1F78BBB3C2A4}" type="TxLink">
            <a:rPr lang="en-US" sz="2000" b="1" i="0" u="none" strike="noStrike">
              <a:solidFill>
                <a:srgbClr val="05353F"/>
              </a:solidFill>
              <a:latin typeface="Calibri"/>
              <a:ea typeface="Calibri"/>
              <a:cs typeface="Calibri"/>
            </a:rPr>
            <a:pPr/>
            <a:t>9441</a:t>
          </a:fld>
          <a:endParaRPr lang="en-US" sz="13800" b="1">
            <a:solidFill>
              <a:srgbClr val="05353F"/>
            </a:solidFill>
          </a:endParaRPr>
        </a:p>
      </xdr:txBody>
    </xdr:sp>
    <xdr:clientData/>
  </xdr:twoCellAnchor>
  <xdr:twoCellAnchor>
    <xdr:from>
      <xdr:col>20</xdr:col>
      <xdr:colOff>44124</xdr:colOff>
      <xdr:row>4</xdr:row>
      <xdr:rowOff>160399</xdr:rowOff>
    </xdr:from>
    <xdr:to>
      <xdr:col>22</xdr:col>
      <xdr:colOff>385704</xdr:colOff>
      <xdr:row>6</xdr:row>
      <xdr:rowOff>83592</xdr:rowOff>
    </xdr:to>
    <xdr:sp macro="" textlink="">
      <xdr:nvSpPr>
        <xdr:cNvPr id="25" name="TextBox 24">
          <a:extLst>
            <a:ext uri="{FF2B5EF4-FFF2-40B4-BE49-F238E27FC236}">
              <a16:creationId xmlns:a16="http://schemas.microsoft.com/office/drawing/2014/main" id="{EE8859F7-1BD7-44FA-A534-35438DD56069}"/>
            </a:ext>
          </a:extLst>
        </xdr:cNvPr>
        <xdr:cNvSpPr txBox="1"/>
      </xdr:nvSpPr>
      <xdr:spPr>
        <a:xfrm>
          <a:off x="13402643" y="950621"/>
          <a:ext cx="1677431"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Total</a:t>
          </a:r>
          <a:r>
            <a:rPr lang="en-US" sz="2000" b="1" baseline="0">
              <a:solidFill>
                <a:srgbClr val="05353F"/>
              </a:solidFill>
            </a:rPr>
            <a:t> Leaves</a:t>
          </a:r>
          <a:endParaRPr lang="en-US" sz="2000" b="1">
            <a:solidFill>
              <a:srgbClr val="05353F"/>
            </a:solidFill>
          </a:endParaRPr>
        </a:p>
      </xdr:txBody>
    </xdr:sp>
    <xdr:clientData/>
  </xdr:twoCellAnchor>
  <xdr:twoCellAnchor editAs="oneCell">
    <xdr:from>
      <xdr:col>18</xdr:col>
      <xdr:colOff>416512</xdr:colOff>
      <xdr:row>5</xdr:row>
      <xdr:rowOff>108186</xdr:rowOff>
    </xdr:from>
    <xdr:to>
      <xdr:col>19</xdr:col>
      <xdr:colOff>359361</xdr:colOff>
      <xdr:row>8</xdr:row>
      <xdr:rowOff>117710</xdr:rowOff>
    </xdr:to>
    <xdr:pic>
      <xdr:nvPicPr>
        <xdr:cNvPr id="26" name="Picture 25">
          <a:extLst>
            <a:ext uri="{FF2B5EF4-FFF2-40B4-BE49-F238E27FC236}">
              <a16:creationId xmlns:a16="http://schemas.microsoft.com/office/drawing/2014/main" id="{097C621C-2BE0-4FBD-B83E-CD03672E8EA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439179" y="1095964"/>
          <a:ext cx="610775" cy="602190"/>
        </a:xfrm>
        <a:prstGeom prst="rect">
          <a:avLst/>
        </a:prstGeom>
      </xdr:spPr>
    </xdr:pic>
    <xdr:clientData/>
  </xdr:twoCellAnchor>
  <xdr:twoCellAnchor>
    <xdr:from>
      <xdr:col>20</xdr:col>
      <xdr:colOff>290597</xdr:colOff>
      <xdr:row>6</xdr:row>
      <xdr:rowOff>152873</xdr:rowOff>
    </xdr:from>
    <xdr:to>
      <xdr:col>21</xdr:col>
      <xdr:colOff>590785</xdr:colOff>
      <xdr:row>8</xdr:row>
      <xdr:rowOff>76066</xdr:rowOff>
    </xdr:to>
    <xdr:sp macro="" textlink="'Pivot Tables &amp; Charts'!D10">
      <xdr:nvSpPr>
        <xdr:cNvPr id="27" name="TextBox 26">
          <a:extLst>
            <a:ext uri="{FF2B5EF4-FFF2-40B4-BE49-F238E27FC236}">
              <a16:creationId xmlns:a16="http://schemas.microsoft.com/office/drawing/2014/main" id="{2390746A-E218-455B-AB2B-45CD40042B90}"/>
            </a:ext>
          </a:extLst>
        </xdr:cNvPr>
        <xdr:cNvSpPr txBox="1"/>
      </xdr:nvSpPr>
      <xdr:spPr>
        <a:xfrm>
          <a:off x="13649116" y="1338206"/>
          <a:ext cx="968113"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FC7DF7-3EBC-4100-B77E-F8782F46D665}" type="TxLink">
            <a:rPr lang="en-US" sz="2000" b="1" i="0" u="none" strike="noStrike">
              <a:solidFill>
                <a:srgbClr val="05353F"/>
              </a:solidFill>
              <a:latin typeface="Calibri"/>
              <a:ea typeface="Calibri"/>
              <a:cs typeface="Calibri"/>
            </a:rPr>
            <a:pPr/>
            <a:t>1632</a:t>
          </a:fld>
          <a:endParaRPr lang="en-US" sz="28700" b="1">
            <a:solidFill>
              <a:srgbClr val="05353F"/>
            </a:solidFill>
          </a:endParaRPr>
        </a:p>
      </xdr:txBody>
    </xdr:sp>
    <xdr:clientData/>
  </xdr:twoCellAnchor>
  <xdr:twoCellAnchor editAs="oneCell">
    <xdr:from>
      <xdr:col>22</xdr:col>
      <xdr:colOff>429565</xdr:colOff>
      <xdr:row>5</xdr:row>
      <xdr:rowOff>163925</xdr:rowOff>
    </xdr:from>
    <xdr:to>
      <xdr:col>23</xdr:col>
      <xdr:colOff>353365</xdr:colOff>
      <xdr:row>8</xdr:row>
      <xdr:rowOff>154400</xdr:rowOff>
    </xdr:to>
    <xdr:pic>
      <xdr:nvPicPr>
        <xdr:cNvPr id="29" name="Picture 28">
          <a:extLst>
            <a:ext uri="{FF2B5EF4-FFF2-40B4-BE49-F238E27FC236}">
              <a16:creationId xmlns:a16="http://schemas.microsoft.com/office/drawing/2014/main" id="{53872F78-5674-464B-BBFA-9F68CBD34C8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123935" y="1151703"/>
          <a:ext cx="591726" cy="5831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451557</xdr:colOff>
      <xdr:row>0</xdr:row>
      <xdr:rowOff>141113</xdr:rowOff>
    </xdr:from>
    <xdr:to>
      <xdr:col>23</xdr:col>
      <xdr:colOff>545631</xdr:colOff>
      <xdr:row>5</xdr:row>
      <xdr:rowOff>112889</xdr:rowOff>
    </xdr:to>
    <xdr:sp macro="" textlink="">
      <xdr:nvSpPr>
        <xdr:cNvPr id="47" name="Rectangle: Diagonal Corners Rounded 46">
          <a:extLst>
            <a:ext uri="{FF2B5EF4-FFF2-40B4-BE49-F238E27FC236}">
              <a16:creationId xmlns:a16="http://schemas.microsoft.com/office/drawing/2014/main" id="{6F78326B-7C89-2DF1-40E1-3A9073ECBB18}"/>
            </a:ext>
          </a:extLst>
        </xdr:cNvPr>
        <xdr:cNvSpPr/>
      </xdr:nvSpPr>
      <xdr:spPr>
        <a:xfrm>
          <a:off x="2455335" y="141113"/>
          <a:ext cx="13452592" cy="959554"/>
        </a:xfrm>
        <a:prstGeom prst="round2DiagRect">
          <a:avLst/>
        </a:prstGeom>
        <a:solidFill>
          <a:srgbClr val="05353F"/>
        </a:solidFill>
        <a:ln>
          <a:solidFill>
            <a:srgbClr val="01235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30106</xdr:colOff>
      <xdr:row>1</xdr:row>
      <xdr:rowOff>23662</xdr:rowOff>
    </xdr:from>
    <xdr:to>
      <xdr:col>19</xdr:col>
      <xdr:colOff>526814</xdr:colOff>
      <xdr:row>4</xdr:row>
      <xdr:rowOff>65851</xdr:rowOff>
    </xdr:to>
    <xdr:sp macro="" textlink="">
      <xdr:nvSpPr>
        <xdr:cNvPr id="48" name="TextBox 47">
          <a:extLst>
            <a:ext uri="{FF2B5EF4-FFF2-40B4-BE49-F238E27FC236}">
              <a16:creationId xmlns:a16="http://schemas.microsoft.com/office/drawing/2014/main" id="{74866BCC-3087-4F49-AA6D-9C6A1EF0DCF3}"/>
            </a:ext>
          </a:extLst>
        </xdr:cNvPr>
        <xdr:cNvSpPr txBox="1"/>
      </xdr:nvSpPr>
      <xdr:spPr>
        <a:xfrm>
          <a:off x="4705587" y="221218"/>
          <a:ext cx="8511820" cy="634855"/>
        </a:xfrm>
        <a:prstGeom prst="rect">
          <a:avLst/>
        </a:prstGeom>
        <a:solidFill>
          <a:srgbClr val="0535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rgbClr val="F9F6EF"/>
              </a:solidFill>
            </a:rPr>
            <a:t>Employee Workforce Analytics | Overview</a:t>
          </a:r>
        </a:p>
      </xdr:txBody>
    </xdr:sp>
    <xdr:clientData/>
  </xdr:twoCellAnchor>
  <xdr:twoCellAnchor>
    <xdr:from>
      <xdr:col>0</xdr:col>
      <xdr:colOff>162749</xdr:colOff>
      <xdr:row>0</xdr:row>
      <xdr:rowOff>122295</xdr:rowOff>
    </xdr:from>
    <xdr:to>
      <xdr:col>3</xdr:col>
      <xdr:colOff>301037</xdr:colOff>
      <xdr:row>31</xdr:row>
      <xdr:rowOff>28937</xdr:rowOff>
    </xdr:to>
    <xdr:sp macro="" textlink="">
      <xdr:nvSpPr>
        <xdr:cNvPr id="90" name="Rectangle: Rounded Corners 89">
          <a:extLst>
            <a:ext uri="{FF2B5EF4-FFF2-40B4-BE49-F238E27FC236}">
              <a16:creationId xmlns:a16="http://schemas.microsoft.com/office/drawing/2014/main" id="{ED52D053-DDC5-BE13-48DE-30881F4B3614}"/>
            </a:ext>
          </a:extLst>
        </xdr:cNvPr>
        <xdr:cNvSpPr/>
      </xdr:nvSpPr>
      <xdr:spPr>
        <a:xfrm>
          <a:off x="162749" y="122295"/>
          <a:ext cx="2163858" cy="6185908"/>
        </a:xfrm>
        <a:prstGeom prst="roundRect">
          <a:avLst/>
        </a:prstGeom>
        <a:solidFill>
          <a:srgbClr val="05353F"/>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0</xdr:col>
      <xdr:colOff>323486</xdr:colOff>
      <xdr:row>1</xdr:row>
      <xdr:rowOff>84660</xdr:rowOff>
    </xdr:from>
    <xdr:to>
      <xdr:col>3</xdr:col>
      <xdr:colOff>173619</xdr:colOff>
      <xdr:row>13</xdr:row>
      <xdr:rowOff>144683</xdr:rowOff>
    </xdr:to>
    <mc:AlternateContent xmlns:mc="http://schemas.openxmlformats.org/markup-compatibility/2006" xmlns:a14="http://schemas.microsoft.com/office/drawing/2010/main">
      <mc:Choice Requires="a14">
        <xdr:graphicFrame macro="">
          <xdr:nvGraphicFramePr>
            <xdr:cNvPr id="91" name="Department 4">
              <a:extLst>
                <a:ext uri="{FF2B5EF4-FFF2-40B4-BE49-F238E27FC236}">
                  <a16:creationId xmlns:a16="http://schemas.microsoft.com/office/drawing/2014/main" id="{40A11333-D567-48BF-34E4-F7A4E62BB5DD}"/>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323486" y="287217"/>
              <a:ext cx="1875703" cy="2490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311849</xdr:colOff>
      <xdr:row>14</xdr:row>
      <xdr:rowOff>37132</xdr:rowOff>
    </xdr:from>
    <xdr:to>
      <xdr:col>3</xdr:col>
      <xdr:colOff>159450</xdr:colOff>
      <xdr:row>23</xdr:row>
      <xdr:rowOff>153140</xdr:rowOff>
    </xdr:to>
    <mc:AlternateContent xmlns:mc="http://schemas.openxmlformats.org/markup-compatibility/2006" xmlns:a14="http://schemas.microsoft.com/office/drawing/2010/main">
      <mc:Choice Requires="a14">
        <xdr:graphicFrame macro="">
          <xdr:nvGraphicFramePr>
            <xdr:cNvPr id="93" name="Country 3">
              <a:extLst>
                <a:ext uri="{FF2B5EF4-FFF2-40B4-BE49-F238E27FC236}">
                  <a16:creationId xmlns:a16="http://schemas.microsoft.com/office/drawing/2014/main" id="{7A3DFE80-221E-D86B-2131-B819F60404B5}"/>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311849" y="2872929"/>
              <a:ext cx="1873171" cy="1939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215635</xdr:colOff>
      <xdr:row>1</xdr:row>
      <xdr:rowOff>48228</xdr:rowOff>
    </xdr:from>
    <xdr:to>
      <xdr:col>7</xdr:col>
      <xdr:colOff>67518</xdr:colOff>
      <xdr:row>4</xdr:row>
      <xdr:rowOff>115747</xdr:rowOff>
    </xdr:to>
    <mc:AlternateContent xmlns:mc="http://schemas.openxmlformats.org/markup-compatibility/2006" xmlns:a14="http://schemas.microsoft.com/office/drawing/2010/main">
      <mc:Choice Requires="a14">
        <xdr:graphicFrame macro="">
          <xdr:nvGraphicFramePr>
            <xdr:cNvPr id="95" name="Gender 3">
              <a:extLst>
                <a:ext uri="{FF2B5EF4-FFF2-40B4-BE49-F238E27FC236}">
                  <a16:creationId xmlns:a16="http://schemas.microsoft.com/office/drawing/2014/main" id="{B29CCBDE-1A19-8054-20ED-E92996982A0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916394" y="250785"/>
              <a:ext cx="1877453" cy="675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629264</xdr:colOff>
      <xdr:row>4</xdr:row>
      <xdr:rowOff>75262</xdr:rowOff>
    </xdr:from>
    <xdr:to>
      <xdr:col>23</xdr:col>
      <xdr:colOff>403197</xdr:colOff>
      <xdr:row>9</xdr:row>
      <xdr:rowOff>13904</xdr:rowOff>
    </xdr:to>
    <xdr:sp macro="" textlink="'Pivot Tables &amp; Charts'!G10">
      <xdr:nvSpPr>
        <xdr:cNvPr id="5" name="Rectangle: Diagonal Corners Rounded 4">
          <a:extLst>
            <a:ext uri="{FF2B5EF4-FFF2-40B4-BE49-F238E27FC236}">
              <a16:creationId xmlns:a16="http://schemas.microsoft.com/office/drawing/2014/main" id="{6F7D9AE5-8BF7-48F6-A322-C74917D95360}"/>
            </a:ext>
          </a:extLst>
        </xdr:cNvPr>
        <xdr:cNvSpPr/>
      </xdr:nvSpPr>
      <xdr:spPr>
        <a:xfrm>
          <a:off x="13319857" y="865484"/>
          <a:ext cx="2445636" cy="926420"/>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15</xdr:col>
      <xdr:colOff>648080</xdr:colOff>
      <xdr:row>4</xdr:row>
      <xdr:rowOff>91725</xdr:rowOff>
    </xdr:from>
    <xdr:to>
      <xdr:col>19</xdr:col>
      <xdr:colOff>422012</xdr:colOff>
      <xdr:row>9</xdr:row>
      <xdr:rowOff>30367</xdr:rowOff>
    </xdr:to>
    <xdr:sp macro="" textlink="'Pivot Tables &amp; Charts'!J6">
      <xdr:nvSpPr>
        <xdr:cNvPr id="6" name="Rectangle: Diagonal Corners Rounded 5">
          <a:extLst>
            <a:ext uri="{FF2B5EF4-FFF2-40B4-BE49-F238E27FC236}">
              <a16:creationId xmlns:a16="http://schemas.microsoft.com/office/drawing/2014/main" id="{07450339-A203-41AD-A8B0-62CC583E1AED}"/>
            </a:ext>
          </a:extLst>
        </xdr:cNvPr>
        <xdr:cNvSpPr/>
      </xdr:nvSpPr>
      <xdr:spPr>
        <a:xfrm>
          <a:off x="10666969" y="881947"/>
          <a:ext cx="2445636" cy="926420"/>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11</xdr:col>
      <xdr:colOff>657487</xdr:colOff>
      <xdr:row>4</xdr:row>
      <xdr:rowOff>108188</xdr:rowOff>
    </xdr:from>
    <xdr:to>
      <xdr:col>15</xdr:col>
      <xdr:colOff>424741</xdr:colOff>
      <xdr:row>9</xdr:row>
      <xdr:rowOff>46830</xdr:rowOff>
    </xdr:to>
    <xdr:sp macro="" textlink="'Pivot Tables &amp; Charts'!G6">
      <xdr:nvSpPr>
        <xdr:cNvPr id="7" name="Rectangle: Diagonal Corners Rounded 6">
          <a:extLst>
            <a:ext uri="{FF2B5EF4-FFF2-40B4-BE49-F238E27FC236}">
              <a16:creationId xmlns:a16="http://schemas.microsoft.com/office/drawing/2014/main" id="{5788A5D2-A50F-4653-BC06-44B6A57DDAEC}"/>
            </a:ext>
          </a:extLst>
        </xdr:cNvPr>
        <xdr:cNvSpPr/>
      </xdr:nvSpPr>
      <xdr:spPr>
        <a:xfrm>
          <a:off x="8004672" y="898410"/>
          <a:ext cx="2438958" cy="926420"/>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8</xdr:col>
      <xdr:colOff>8376</xdr:colOff>
      <xdr:row>4</xdr:row>
      <xdr:rowOff>141114</xdr:rowOff>
    </xdr:from>
    <xdr:to>
      <xdr:col>11</xdr:col>
      <xdr:colOff>443557</xdr:colOff>
      <xdr:row>9</xdr:row>
      <xdr:rowOff>79756</xdr:rowOff>
    </xdr:to>
    <xdr:sp macro="" textlink="'Pivot Tables &amp; Charts'!D6">
      <xdr:nvSpPr>
        <xdr:cNvPr id="8" name="Rectangle: Diagonal Corners Rounded 7">
          <a:extLst>
            <a:ext uri="{FF2B5EF4-FFF2-40B4-BE49-F238E27FC236}">
              <a16:creationId xmlns:a16="http://schemas.microsoft.com/office/drawing/2014/main" id="{FB23CEA1-DC35-49C2-BD37-C619492B279B}"/>
            </a:ext>
          </a:extLst>
        </xdr:cNvPr>
        <xdr:cNvSpPr/>
      </xdr:nvSpPr>
      <xdr:spPr>
        <a:xfrm>
          <a:off x="5351783" y="931336"/>
          <a:ext cx="2438959" cy="926420"/>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rgbClr val="012351"/>
            </a:solidFill>
            <a:latin typeface="Calibri"/>
            <a:ea typeface="Calibri"/>
            <a:cs typeface="Calibri"/>
          </a:endParaRPr>
        </a:p>
      </xdr:txBody>
    </xdr:sp>
    <xdr:clientData/>
  </xdr:twoCellAnchor>
  <xdr:twoCellAnchor>
    <xdr:from>
      <xdr:col>3</xdr:col>
      <xdr:colOff>666894</xdr:colOff>
      <xdr:row>4</xdr:row>
      <xdr:rowOff>124651</xdr:rowOff>
    </xdr:from>
    <xdr:to>
      <xdr:col>7</xdr:col>
      <xdr:colOff>434150</xdr:colOff>
      <xdr:row>9</xdr:row>
      <xdr:rowOff>63293</xdr:rowOff>
    </xdr:to>
    <xdr:sp macro="" textlink="'Pivot Tables &amp; Charts'!A6">
      <xdr:nvSpPr>
        <xdr:cNvPr id="9" name="Rectangle: Diagonal Corners Rounded 8">
          <a:extLst>
            <a:ext uri="{FF2B5EF4-FFF2-40B4-BE49-F238E27FC236}">
              <a16:creationId xmlns:a16="http://schemas.microsoft.com/office/drawing/2014/main" id="{12C13A8A-DD3E-49BC-A345-F1EFC367B16C}"/>
            </a:ext>
          </a:extLst>
        </xdr:cNvPr>
        <xdr:cNvSpPr/>
      </xdr:nvSpPr>
      <xdr:spPr>
        <a:xfrm>
          <a:off x="2670672" y="914873"/>
          <a:ext cx="2438959" cy="926420"/>
        </a:xfrm>
        <a:prstGeom prst="round2DiagRect">
          <a:avLst/>
        </a:prstGeom>
        <a:solidFill>
          <a:schemeClr val="bg1"/>
        </a:solidFill>
        <a:ln w="19050">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3800" b="1" i="0" u="none" strike="noStrike">
            <a:solidFill>
              <a:srgbClr val="05353F"/>
            </a:solidFill>
            <a:latin typeface="Calibri"/>
            <a:ea typeface="Calibri"/>
            <a:cs typeface="Calibri"/>
          </a:endParaRPr>
        </a:p>
      </xdr:txBody>
    </xdr:sp>
    <xdr:clientData/>
  </xdr:twoCellAnchor>
  <xdr:twoCellAnchor>
    <xdr:from>
      <xdr:col>8</xdr:col>
      <xdr:colOff>18815</xdr:colOff>
      <xdr:row>9</xdr:row>
      <xdr:rowOff>188148</xdr:rowOff>
    </xdr:from>
    <xdr:to>
      <xdr:col>12</xdr:col>
      <xdr:colOff>573853</xdr:colOff>
      <xdr:row>22</xdr:row>
      <xdr:rowOff>28222</xdr:rowOff>
    </xdr:to>
    <xdr:grpSp>
      <xdr:nvGrpSpPr>
        <xdr:cNvPr id="28" name="Group 27">
          <a:extLst>
            <a:ext uri="{FF2B5EF4-FFF2-40B4-BE49-F238E27FC236}">
              <a16:creationId xmlns:a16="http://schemas.microsoft.com/office/drawing/2014/main" id="{3511CA69-8A92-C400-CB80-471A052CC9D8}"/>
            </a:ext>
          </a:extLst>
        </xdr:cNvPr>
        <xdr:cNvGrpSpPr/>
      </xdr:nvGrpSpPr>
      <xdr:grpSpPr>
        <a:xfrm>
          <a:off x="5420334" y="2011161"/>
          <a:ext cx="3255797" cy="2473314"/>
          <a:chOff x="5362222" y="2032000"/>
          <a:chExt cx="3226742" cy="2342444"/>
        </a:xfrm>
      </xdr:grpSpPr>
      <xdr:sp macro="" textlink="">
        <xdr:nvSpPr>
          <xdr:cNvPr id="2" name="Rectangle: Rounded Corners 1">
            <a:extLst>
              <a:ext uri="{FF2B5EF4-FFF2-40B4-BE49-F238E27FC236}">
                <a16:creationId xmlns:a16="http://schemas.microsoft.com/office/drawing/2014/main" id="{DFA2EB29-55AB-0DFA-E0F8-379459606526}"/>
              </a:ext>
            </a:extLst>
          </xdr:cNvPr>
          <xdr:cNvSpPr/>
        </xdr:nvSpPr>
        <xdr:spPr>
          <a:xfrm>
            <a:off x="5362222" y="2032000"/>
            <a:ext cx="3226742" cy="2342444"/>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 name="Chart 9">
            <a:extLst>
              <a:ext uri="{FF2B5EF4-FFF2-40B4-BE49-F238E27FC236}">
                <a16:creationId xmlns:a16="http://schemas.microsoft.com/office/drawing/2014/main" id="{E215E82D-1791-4937-B0AD-463B6B1653DB}"/>
              </a:ext>
            </a:extLst>
          </xdr:cNvPr>
          <xdr:cNvGraphicFramePr>
            <a:graphicFrameLocks/>
          </xdr:cNvGraphicFramePr>
        </xdr:nvGraphicFramePr>
        <xdr:xfrm>
          <a:off x="5540965" y="2116667"/>
          <a:ext cx="2850444" cy="210726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13</xdr:col>
      <xdr:colOff>58325</xdr:colOff>
      <xdr:row>9</xdr:row>
      <xdr:rowOff>159926</xdr:rowOff>
    </xdr:from>
    <xdr:to>
      <xdr:col>19</xdr:col>
      <xdr:colOff>423333</xdr:colOff>
      <xdr:row>22</xdr:row>
      <xdr:rowOff>30103</xdr:rowOff>
    </xdr:to>
    <xdr:grpSp>
      <xdr:nvGrpSpPr>
        <xdr:cNvPr id="20" name="Group 19">
          <a:extLst>
            <a:ext uri="{FF2B5EF4-FFF2-40B4-BE49-F238E27FC236}">
              <a16:creationId xmlns:a16="http://schemas.microsoft.com/office/drawing/2014/main" id="{7816B4DA-AB3F-5155-947E-A6E63899666F}"/>
            </a:ext>
          </a:extLst>
        </xdr:cNvPr>
        <xdr:cNvGrpSpPr/>
      </xdr:nvGrpSpPr>
      <xdr:grpSpPr>
        <a:xfrm>
          <a:off x="8835793" y="1982939"/>
          <a:ext cx="4416148" cy="2503417"/>
          <a:chOff x="9051806" y="2015067"/>
          <a:chExt cx="4372564" cy="2342444"/>
        </a:xfrm>
      </xdr:grpSpPr>
      <xdr:sp macro="" textlink="">
        <xdr:nvSpPr>
          <xdr:cNvPr id="11" name="Rectangle: Rounded Corners 10">
            <a:extLst>
              <a:ext uri="{FF2B5EF4-FFF2-40B4-BE49-F238E27FC236}">
                <a16:creationId xmlns:a16="http://schemas.microsoft.com/office/drawing/2014/main" id="{85252D39-278D-4FE2-ADA3-7B5747FE5870}"/>
              </a:ext>
            </a:extLst>
          </xdr:cNvPr>
          <xdr:cNvSpPr/>
        </xdr:nvSpPr>
        <xdr:spPr>
          <a:xfrm>
            <a:off x="9051806" y="2015067"/>
            <a:ext cx="4372564" cy="2342444"/>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261826DE-3DB8-464B-9D7E-092DA5869D53}"/>
                  </a:ext>
                </a:extLst>
              </xdr:cNvPr>
              <xdr:cNvGraphicFramePr/>
            </xdr:nvGraphicFramePr>
            <xdr:xfrm>
              <a:off x="9199414" y="2163705"/>
              <a:ext cx="4048990" cy="2029794"/>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199414" y="2163705"/>
                <a:ext cx="4048990" cy="20297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19</xdr:col>
      <xdr:colOff>596428</xdr:colOff>
      <xdr:row>9</xdr:row>
      <xdr:rowOff>112889</xdr:rowOff>
    </xdr:from>
    <xdr:to>
      <xdr:col>23</xdr:col>
      <xdr:colOff>508000</xdr:colOff>
      <xdr:row>22</xdr:row>
      <xdr:rowOff>31984</xdr:rowOff>
    </xdr:to>
    <xdr:grpSp>
      <xdr:nvGrpSpPr>
        <xdr:cNvPr id="26" name="Group 25">
          <a:extLst>
            <a:ext uri="{FF2B5EF4-FFF2-40B4-BE49-F238E27FC236}">
              <a16:creationId xmlns:a16="http://schemas.microsoft.com/office/drawing/2014/main" id="{3A299C4D-1B02-1F66-AB9D-A3DEAD541ECD}"/>
            </a:ext>
          </a:extLst>
        </xdr:cNvPr>
        <xdr:cNvGrpSpPr/>
      </xdr:nvGrpSpPr>
      <xdr:grpSpPr>
        <a:xfrm>
          <a:off x="13425036" y="1935902"/>
          <a:ext cx="2612331" cy="2552335"/>
          <a:chOff x="13287021" y="1966147"/>
          <a:chExt cx="2583275" cy="2412059"/>
        </a:xfrm>
      </xdr:grpSpPr>
      <xdr:sp macro="" textlink="">
        <xdr:nvSpPr>
          <xdr:cNvPr id="13" name="Rectangle: Rounded Corners 12">
            <a:extLst>
              <a:ext uri="{FF2B5EF4-FFF2-40B4-BE49-F238E27FC236}">
                <a16:creationId xmlns:a16="http://schemas.microsoft.com/office/drawing/2014/main" id="{A9ED1CAE-285F-4DCB-9D93-05EA1718DFF7}"/>
              </a:ext>
            </a:extLst>
          </xdr:cNvPr>
          <xdr:cNvSpPr/>
        </xdr:nvSpPr>
        <xdr:spPr>
          <a:xfrm>
            <a:off x="13287021" y="1966147"/>
            <a:ext cx="2583275" cy="2412059"/>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 name="Chart 13">
            <a:extLst>
              <a:ext uri="{FF2B5EF4-FFF2-40B4-BE49-F238E27FC236}">
                <a16:creationId xmlns:a16="http://schemas.microsoft.com/office/drawing/2014/main" id="{6BED8D21-1ADA-4B8A-B5E6-D7798022844D}"/>
              </a:ext>
            </a:extLst>
          </xdr:cNvPr>
          <xdr:cNvGraphicFramePr>
            <a:graphicFrameLocks/>
          </xdr:cNvGraphicFramePr>
        </xdr:nvGraphicFramePr>
        <xdr:xfrm>
          <a:off x="13386740" y="2248370"/>
          <a:ext cx="2408294" cy="188148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37630</xdr:colOff>
      <xdr:row>22</xdr:row>
      <xdr:rowOff>169334</xdr:rowOff>
    </xdr:from>
    <xdr:to>
      <xdr:col>23</xdr:col>
      <xdr:colOff>517408</xdr:colOff>
      <xdr:row>31</xdr:row>
      <xdr:rowOff>20696</xdr:rowOff>
    </xdr:to>
    <xdr:grpSp>
      <xdr:nvGrpSpPr>
        <xdr:cNvPr id="27" name="Group 26">
          <a:extLst>
            <a:ext uri="{FF2B5EF4-FFF2-40B4-BE49-F238E27FC236}">
              <a16:creationId xmlns:a16="http://schemas.microsoft.com/office/drawing/2014/main" id="{9A379E63-5856-FE81-B53F-9CD0B347F510}"/>
            </a:ext>
          </a:extLst>
        </xdr:cNvPr>
        <xdr:cNvGrpSpPr/>
      </xdr:nvGrpSpPr>
      <xdr:grpSpPr>
        <a:xfrm>
          <a:off x="5439149" y="4625587"/>
          <a:ext cx="10607626" cy="1674375"/>
          <a:chOff x="5381037" y="4515556"/>
          <a:chExt cx="10498667" cy="1629362"/>
        </a:xfrm>
        <a:solidFill>
          <a:schemeClr val="bg1"/>
        </a:solidFill>
      </xdr:grpSpPr>
      <xdr:sp macro="" textlink="">
        <xdr:nvSpPr>
          <xdr:cNvPr id="21" name="Rectangle: Rounded Corners 20">
            <a:extLst>
              <a:ext uri="{FF2B5EF4-FFF2-40B4-BE49-F238E27FC236}">
                <a16:creationId xmlns:a16="http://schemas.microsoft.com/office/drawing/2014/main" id="{2E10BA19-E2C2-404A-98E9-BADD0BCF0F98}"/>
              </a:ext>
            </a:extLst>
          </xdr:cNvPr>
          <xdr:cNvSpPr/>
        </xdr:nvSpPr>
        <xdr:spPr>
          <a:xfrm>
            <a:off x="5381037" y="4515556"/>
            <a:ext cx="10498667" cy="1629362"/>
          </a:xfrm>
          <a:prstGeom prst="roundRect">
            <a:avLst/>
          </a:prstGeom>
          <a:grp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2" name="Chart 21">
            <a:extLst>
              <a:ext uri="{FF2B5EF4-FFF2-40B4-BE49-F238E27FC236}">
                <a16:creationId xmlns:a16="http://schemas.microsoft.com/office/drawing/2014/main" id="{CF5B0AA6-818A-4BDC-8E55-D56DC89D42C4}"/>
              </a:ext>
            </a:extLst>
          </xdr:cNvPr>
          <xdr:cNvGraphicFramePr>
            <a:graphicFrameLocks/>
          </xdr:cNvGraphicFramePr>
        </xdr:nvGraphicFramePr>
        <xdr:xfrm>
          <a:off x="5484519" y="4637851"/>
          <a:ext cx="10254074" cy="134525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526814</xdr:colOff>
      <xdr:row>9</xdr:row>
      <xdr:rowOff>188148</xdr:rowOff>
    </xdr:from>
    <xdr:to>
      <xdr:col>7</xdr:col>
      <xdr:colOff>545630</xdr:colOff>
      <xdr:row>31</xdr:row>
      <xdr:rowOff>37629</xdr:rowOff>
    </xdr:to>
    <xdr:grpSp>
      <xdr:nvGrpSpPr>
        <xdr:cNvPr id="25" name="Group 24">
          <a:extLst>
            <a:ext uri="{FF2B5EF4-FFF2-40B4-BE49-F238E27FC236}">
              <a16:creationId xmlns:a16="http://schemas.microsoft.com/office/drawing/2014/main" id="{9263633B-4797-63ED-42E0-4271971A11A1}"/>
            </a:ext>
          </a:extLst>
        </xdr:cNvPr>
        <xdr:cNvGrpSpPr/>
      </xdr:nvGrpSpPr>
      <xdr:grpSpPr>
        <a:xfrm>
          <a:off x="2552384" y="2011161"/>
          <a:ext cx="2719575" cy="4305734"/>
          <a:chOff x="2549407" y="2032000"/>
          <a:chExt cx="2596445" cy="4148667"/>
        </a:xfrm>
      </xdr:grpSpPr>
      <xdr:sp macro="" textlink="">
        <xdr:nvSpPr>
          <xdr:cNvPr id="23" name="Rectangle: Rounded Corners 22">
            <a:extLst>
              <a:ext uri="{FF2B5EF4-FFF2-40B4-BE49-F238E27FC236}">
                <a16:creationId xmlns:a16="http://schemas.microsoft.com/office/drawing/2014/main" id="{7281CB27-52CE-47A1-9B6F-5DFED58D3D32}"/>
              </a:ext>
            </a:extLst>
          </xdr:cNvPr>
          <xdr:cNvSpPr/>
        </xdr:nvSpPr>
        <xdr:spPr>
          <a:xfrm>
            <a:off x="2549407" y="2032000"/>
            <a:ext cx="2596445" cy="4148667"/>
          </a:xfrm>
          <a:prstGeom prst="roundRect">
            <a:avLst/>
          </a:prstGeom>
          <a:solidFill>
            <a:schemeClr val="bg1"/>
          </a:solidFill>
          <a:ln>
            <a:solidFill>
              <a:srgbClr val="01235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4" name="Chart 23">
            <a:extLst>
              <a:ext uri="{FF2B5EF4-FFF2-40B4-BE49-F238E27FC236}">
                <a16:creationId xmlns:a16="http://schemas.microsoft.com/office/drawing/2014/main" id="{6DA22C25-C438-4953-96F8-1DE8F6FCD23D}"/>
              </a:ext>
            </a:extLst>
          </xdr:cNvPr>
          <xdr:cNvGraphicFramePr>
            <a:graphicFrameLocks/>
          </xdr:cNvGraphicFramePr>
        </xdr:nvGraphicFramePr>
        <xdr:xfrm>
          <a:off x="2670389" y="2267187"/>
          <a:ext cx="2402836" cy="363442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6</xdr:col>
      <xdr:colOff>357363</xdr:colOff>
      <xdr:row>6</xdr:row>
      <xdr:rowOff>38101</xdr:rowOff>
    </xdr:from>
    <xdr:to>
      <xdr:col>7</xdr:col>
      <xdr:colOff>282105</xdr:colOff>
      <xdr:row>9</xdr:row>
      <xdr:rowOff>38101</xdr:rowOff>
    </xdr:to>
    <xdr:pic>
      <xdr:nvPicPr>
        <xdr:cNvPr id="30" name="Picture 29">
          <a:extLst>
            <a:ext uri="{FF2B5EF4-FFF2-40B4-BE49-F238E27FC236}">
              <a16:creationId xmlns:a16="http://schemas.microsoft.com/office/drawing/2014/main" id="{CD77181D-A222-1CBB-0335-5FF43391315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357863" y="1238251"/>
          <a:ext cx="591492" cy="600075"/>
        </a:xfrm>
        <a:prstGeom prst="rect">
          <a:avLst/>
        </a:prstGeom>
      </xdr:spPr>
    </xdr:pic>
    <xdr:clientData/>
  </xdr:twoCellAnchor>
  <xdr:twoCellAnchor editAs="oneCell">
    <xdr:from>
      <xdr:col>10</xdr:col>
      <xdr:colOff>549854</xdr:colOff>
      <xdr:row>6</xdr:row>
      <xdr:rowOff>158215</xdr:rowOff>
    </xdr:from>
    <xdr:to>
      <xdr:col>11</xdr:col>
      <xdr:colOff>314325</xdr:colOff>
      <xdr:row>8</xdr:row>
      <xdr:rowOff>195812</xdr:rowOff>
    </xdr:to>
    <xdr:pic>
      <xdr:nvPicPr>
        <xdr:cNvPr id="32" name="Picture 31">
          <a:extLst>
            <a:ext uri="{FF2B5EF4-FFF2-40B4-BE49-F238E27FC236}">
              <a16:creationId xmlns:a16="http://schemas.microsoft.com/office/drawing/2014/main" id="{ED64C3B7-069F-6079-48D8-EAE4291B4E1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17354" y="1358365"/>
          <a:ext cx="431221" cy="437647"/>
        </a:xfrm>
        <a:prstGeom prst="rect">
          <a:avLst/>
        </a:prstGeom>
      </xdr:spPr>
    </xdr:pic>
    <xdr:clientData/>
  </xdr:twoCellAnchor>
  <xdr:twoCellAnchor editAs="oneCell">
    <xdr:from>
      <xdr:col>0</xdr:col>
      <xdr:colOff>308659</xdr:colOff>
      <xdr:row>24</xdr:row>
      <xdr:rowOff>48228</xdr:rowOff>
    </xdr:from>
    <xdr:to>
      <xdr:col>3</xdr:col>
      <xdr:colOff>173620</xdr:colOff>
      <xdr:row>30</xdr:row>
      <xdr:rowOff>93478</xdr:rowOff>
    </xdr:to>
    <mc:AlternateContent xmlns:mc="http://schemas.openxmlformats.org/markup-compatibility/2006" xmlns:a14="http://schemas.microsoft.com/office/drawing/2010/main">
      <mc:Choice Requires="a14">
        <xdr:graphicFrame macro="">
          <xdr:nvGraphicFramePr>
            <xdr:cNvPr id="3" name="Job Rate Category 2">
              <a:extLst>
                <a:ext uri="{FF2B5EF4-FFF2-40B4-BE49-F238E27FC236}">
                  <a16:creationId xmlns:a16="http://schemas.microsoft.com/office/drawing/2014/main" id="{E7D9B3FC-5C94-43D5-9B8A-3969A1C57F70}"/>
                </a:ext>
              </a:extLst>
            </xdr:cNvPr>
            <xdr:cNvGraphicFramePr/>
          </xdr:nvGraphicFramePr>
          <xdr:xfrm>
            <a:off x="0" y="0"/>
            <a:ext cx="0" cy="0"/>
          </xdr:xfrm>
          <a:graphic>
            <a:graphicData uri="http://schemas.microsoft.com/office/drawing/2010/slicer">
              <sle:slicer xmlns:sle="http://schemas.microsoft.com/office/drawing/2010/slicer" name="Job Rate Category 2"/>
            </a:graphicData>
          </a:graphic>
        </xdr:graphicFrame>
      </mc:Choice>
      <mc:Fallback xmlns="">
        <xdr:sp macro="" textlink="">
          <xdr:nvSpPr>
            <xdr:cNvPr id="0" name=""/>
            <xdr:cNvSpPr>
              <a:spLocks noTextEdit="1"/>
            </xdr:cNvSpPr>
          </xdr:nvSpPr>
          <xdr:spPr>
            <a:xfrm>
              <a:off x="308659" y="4909595"/>
              <a:ext cx="1890531" cy="1260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414760</xdr:colOff>
      <xdr:row>6</xdr:row>
      <xdr:rowOff>144684</xdr:rowOff>
    </xdr:from>
    <xdr:to>
      <xdr:col>5</xdr:col>
      <xdr:colOff>578735</xdr:colOff>
      <xdr:row>8</xdr:row>
      <xdr:rowOff>202555</xdr:rowOff>
    </xdr:to>
    <xdr:sp macro="" textlink="'Pivot Tables &amp; Charts'!A6">
      <xdr:nvSpPr>
        <xdr:cNvPr id="4" name="TextBox 3">
          <a:extLst>
            <a:ext uri="{FF2B5EF4-FFF2-40B4-BE49-F238E27FC236}">
              <a16:creationId xmlns:a16="http://schemas.microsoft.com/office/drawing/2014/main" id="{DC73977C-88DE-65B3-DBD8-3A1A7D8ECAEE}"/>
            </a:ext>
          </a:extLst>
        </xdr:cNvPr>
        <xdr:cNvSpPr txBox="1"/>
      </xdr:nvSpPr>
      <xdr:spPr>
        <a:xfrm>
          <a:off x="3115519" y="1360026"/>
          <a:ext cx="839165" cy="4629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B57EDF-EBBA-4027-93B7-2DD8D2CC8000}" type="TxLink">
            <a:rPr lang="en-US" sz="2400" b="1" i="0" u="none" strike="noStrike">
              <a:solidFill>
                <a:srgbClr val="05353F"/>
              </a:solidFill>
              <a:latin typeface="Calibri"/>
              <a:ea typeface="Calibri"/>
              <a:cs typeface="Calibri"/>
            </a:rPr>
            <a:pPr/>
            <a:t>689</a:t>
          </a:fld>
          <a:endParaRPr lang="en-US" sz="2000" b="1">
            <a:solidFill>
              <a:srgbClr val="05353F"/>
            </a:solidFill>
          </a:endParaRPr>
        </a:p>
      </xdr:txBody>
    </xdr:sp>
    <xdr:clientData/>
  </xdr:twoCellAnchor>
  <xdr:twoCellAnchor>
    <xdr:from>
      <xdr:col>4</xdr:col>
      <xdr:colOff>36653</xdr:colOff>
      <xdr:row>5</xdr:row>
      <xdr:rowOff>27007</xdr:rowOff>
    </xdr:from>
    <xdr:to>
      <xdr:col>7</xdr:col>
      <xdr:colOff>67519</xdr:colOff>
      <xdr:row>6</xdr:row>
      <xdr:rowOff>142754</xdr:rowOff>
    </xdr:to>
    <xdr:sp macro="" textlink="">
      <xdr:nvSpPr>
        <xdr:cNvPr id="15" name="TextBox 14">
          <a:extLst>
            <a:ext uri="{FF2B5EF4-FFF2-40B4-BE49-F238E27FC236}">
              <a16:creationId xmlns:a16="http://schemas.microsoft.com/office/drawing/2014/main" id="{6C771146-9B9A-42AB-846F-712E147DF743}"/>
            </a:ext>
          </a:extLst>
        </xdr:cNvPr>
        <xdr:cNvSpPr txBox="1"/>
      </xdr:nvSpPr>
      <xdr:spPr>
        <a:xfrm>
          <a:off x="2737412" y="1039792"/>
          <a:ext cx="2056436"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Total Employees</a:t>
          </a:r>
        </a:p>
      </xdr:txBody>
    </xdr:sp>
    <xdr:clientData/>
  </xdr:twoCellAnchor>
  <xdr:twoCellAnchor>
    <xdr:from>
      <xdr:col>8</xdr:col>
      <xdr:colOff>121533</xdr:colOff>
      <xdr:row>4</xdr:row>
      <xdr:rowOff>198698</xdr:rowOff>
    </xdr:from>
    <xdr:to>
      <xdr:col>11</xdr:col>
      <xdr:colOff>327948</xdr:colOff>
      <xdr:row>6</xdr:row>
      <xdr:rowOff>111888</xdr:rowOff>
    </xdr:to>
    <xdr:sp macro="" textlink="">
      <xdr:nvSpPr>
        <xdr:cNvPr id="16" name="TextBox 15">
          <a:extLst>
            <a:ext uri="{FF2B5EF4-FFF2-40B4-BE49-F238E27FC236}">
              <a16:creationId xmlns:a16="http://schemas.microsoft.com/office/drawing/2014/main" id="{8D2AE452-BA6F-4C39-855E-C9ABE1182879}"/>
            </a:ext>
          </a:extLst>
        </xdr:cNvPr>
        <xdr:cNvSpPr txBox="1"/>
      </xdr:nvSpPr>
      <xdr:spPr>
        <a:xfrm>
          <a:off x="5523052" y="1008926"/>
          <a:ext cx="2231985" cy="318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Total Annual</a:t>
          </a:r>
          <a:r>
            <a:rPr lang="en-US" sz="2000" b="1" baseline="0">
              <a:solidFill>
                <a:srgbClr val="05353F"/>
              </a:solidFill>
            </a:rPr>
            <a:t> Salary</a:t>
          </a:r>
          <a:endParaRPr lang="en-US" sz="2000" b="1">
            <a:solidFill>
              <a:srgbClr val="05353F"/>
            </a:solidFill>
          </a:endParaRPr>
        </a:p>
      </xdr:txBody>
    </xdr:sp>
    <xdr:clientData/>
  </xdr:twoCellAnchor>
  <xdr:twoCellAnchor>
    <xdr:from>
      <xdr:col>8</xdr:col>
      <xdr:colOff>383893</xdr:colOff>
      <xdr:row>6</xdr:row>
      <xdr:rowOff>133109</xdr:rowOff>
    </xdr:from>
    <xdr:to>
      <xdr:col>10</xdr:col>
      <xdr:colOff>395468</xdr:colOff>
      <xdr:row>8</xdr:row>
      <xdr:rowOff>190980</xdr:rowOff>
    </xdr:to>
    <xdr:sp macro="" textlink="'Pivot Tables &amp; Charts'!D6">
      <xdr:nvSpPr>
        <xdr:cNvPr id="17" name="TextBox 16">
          <a:extLst>
            <a:ext uri="{FF2B5EF4-FFF2-40B4-BE49-F238E27FC236}">
              <a16:creationId xmlns:a16="http://schemas.microsoft.com/office/drawing/2014/main" id="{CAAC3488-65A3-482A-A377-1F2D70DC3B42}"/>
            </a:ext>
          </a:extLst>
        </xdr:cNvPr>
        <xdr:cNvSpPr txBox="1"/>
      </xdr:nvSpPr>
      <xdr:spPr>
        <a:xfrm>
          <a:off x="5785412" y="1348451"/>
          <a:ext cx="1361955" cy="4629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B095F2-250A-47A8-92F4-53FDE7C09ABB}" type="TxLink">
            <a:rPr lang="en-US" sz="2000" b="1" i="0" u="none" strike="noStrike">
              <a:solidFill>
                <a:srgbClr val="05353F"/>
              </a:solidFill>
              <a:latin typeface="Calibri"/>
              <a:ea typeface="Calibri"/>
              <a:cs typeface="Calibri"/>
            </a:rPr>
            <a:pPr/>
            <a:t>17,099,892</a:t>
          </a:fld>
          <a:endParaRPr lang="en-US" sz="3600" b="1">
            <a:solidFill>
              <a:srgbClr val="05353F"/>
            </a:solidFill>
          </a:endParaRPr>
        </a:p>
      </xdr:txBody>
    </xdr:sp>
    <xdr:clientData/>
  </xdr:twoCellAnchor>
  <xdr:twoCellAnchor>
    <xdr:from>
      <xdr:col>12</xdr:col>
      <xdr:colOff>61731</xdr:colOff>
      <xdr:row>4</xdr:row>
      <xdr:rowOff>177478</xdr:rowOff>
    </xdr:from>
    <xdr:to>
      <xdr:col>15</xdr:col>
      <xdr:colOff>308658</xdr:colOff>
      <xdr:row>6</xdr:row>
      <xdr:rowOff>135038</xdr:rowOff>
    </xdr:to>
    <xdr:sp macro="" textlink="">
      <xdr:nvSpPr>
        <xdr:cNvPr id="18" name="TextBox 17">
          <a:extLst>
            <a:ext uri="{FF2B5EF4-FFF2-40B4-BE49-F238E27FC236}">
              <a16:creationId xmlns:a16="http://schemas.microsoft.com/office/drawing/2014/main" id="{3DA4FDF6-D145-4915-9E80-E38F3EC44548}"/>
            </a:ext>
          </a:extLst>
        </xdr:cNvPr>
        <xdr:cNvSpPr txBox="1"/>
      </xdr:nvSpPr>
      <xdr:spPr>
        <a:xfrm>
          <a:off x="8164009" y="987706"/>
          <a:ext cx="2272497" cy="3626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Avg</a:t>
          </a:r>
          <a:r>
            <a:rPr lang="en-US" sz="2000" b="1" baseline="0">
              <a:solidFill>
                <a:srgbClr val="05353F"/>
              </a:solidFill>
            </a:rPr>
            <a:t> Monthly Salary</a:t>
          </a:r>
          <a:endParaRPr lang="en-US" sz="2000" b="1">
            <a:solidFill>
              <a:srgbClr val="05353F"/>
            </a:solidFill>
          </a:endParaRPr>
        </a:p>
      </xdr:txBody>
    </xdr:sp>
    <xdr:clientData/>
  </xdr:twoCellAnchor>
  <xdr:twoCellAnchor>
    <xdr:from>
      <xdr:col>12</xdr:col>
      <xdr:colOff>401256</xdr:colOff>
      <xdr:row>6</xdr:row>
      <xdr:rowOff>140827</xdr:rowOff>
    </xdr:from>
    <xdr:to>
      <xdr:col>13</xdr:col>
      <xdr:colOff>646254</xdr:colOff>
      <xdr:row>8</xdr:row>
      <xdr:rowOff>198698</xdr:rowOff>
    </xdr:to>
    <xdr:sp macro="" textlink="'Pivot Tables &amp; Charts'!G6">
      <xdr:nvSpPr>
        <xdr:cNvPr id="19" name="TextBox 18">
          <a:extLst>
            <a:ext uri="{FF2B5EF4-FFF2-40B4-BE49-F238E27FC236}">
              <a16:creationId xmlns:a16="http://schemas.microsoft.com/office/drawing/2014/main" id="{42D36FA2-68A9-4415-97C5-31E0087BED33}"/>
            </a:ext>
          </a:extLst>
        </xdr:cNvPr>
        <xdr:cNvSpPr txBox="1"/>
      </xdr:nvSpPr>
      <xdr:spPr>
        <a:xfrm>
          <a:off x="8503534" y="1356169"/>
          <a:ext cx="920188" cy="4629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7CF0BE-A0F6-4B00-BA18-B9A29A0CFC8B}" type="TxLink">
            <a:rPr lang="en-US" sz="2000" b="1" i="0" u="none" strike="noStrike">
              <a:solidFill>
                <a:srgbClr val="05353F"/>
              </a:solidFill>
              <a:latin typeface="Calibri"/>
              <a:ea typeface="Calibri"/>
              <a:cs typeface="Calibri"/>
            </a:rPr>
            <a:pPr/>
            <a:t>2,068</a:t>
          </a:fld>
          <a:endParaRPr lang="en-US" sz="5400" b="1">
            <a:solidFill>
              <a:srgbClr val="05353F"/>
            </a:solidFill>
          </a:endParaRPr>
        </a:p>
      </xdr:txBody>
    </xdr:sp>
    <xdr:clientData/>
  </xdr:twoCellAnchor>
  <xdr:twoCellAnchor editAs="oneCell">
    <xdr:from>
      <xdr:col>14</xdr:col>
      <xdr:colOff>445626</xdr:colOff>
      <xdr:row>6</xdr:row>
      <xdr:rowOff>61249</xdr:rowOff>
    </xdr:from>
    <xdr:to>
      <xdr:col>15</xdr:col>
      <xdr:colOff>293225</xdr:colOff>
      <xdr:row>8</xdr:row>
      <xdr:rowOff>175548</xdr:rowOff>
    </xdr:to>
    <xdr:pic>
      <xdr:nvPicPr>
        <xdr:cNvPr id="29" name="Picture 28">
          <a:extLst>
            <a:ext uri="{FF2B5EF4-FFF2-40B4-BE49-F238E27FC236}">
              <a16:creationId xmlns:a16="http://schemas.microsoft.com/office/drawing/2014/main" id="{9E773C52-24DC-4AFF-AC44-350AB93F6A3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898284" y="1276591"/>
          <a:ext cx="522789" cy="519413"/>
        </a:xfrm>
        <a:prstGeom prst="rect">
          <a:avLst/>
        </a:prstGeom>
      </xdr:spPr>
    </xdr:pic>
    <xdr:clientData/>
  </xdr:twoCellAnchor>
  <xdr:twoCellAnchor>
    <xdr:from>
      <xdr:col>16</xdr:col>
      <xdr:colOff>21219</xdr:colOff>
      <xdr:row>4</xdr:row>
      <xdr:rowOff>136966</xdr:rowOff>
    </xdr:from>
    <xdr:to>
      <xdr:col>19</xdr:col>
      <xdr:colOff>268146</xdr:colOff>
      <xdr:row>6</xdr:row>
      <xdr:rowOff>94526</xdr:rowOff>
    </xdr:to>
    <xdr:sp macro="" textlink="">
      <xdr:nvSpPr>
        <xdr:cNvPr id="31" name="TextBox 30">
          <a:extLst>
            <a:ext uri="{FF2B5EF4-FFF2-40B4-BE49-F238E27FC236}">
              <a16:creationId xmlns:a16="http://schemas.microsoft.com/office/drawing/2014/main" id="{DAEB8441-A563-42EC-8BA6-7F9C9BC342ED}"/>
            </a:ext>
          </a:extLst>
        </xdr:cNvPr>
        <xdr:cNvSpPr txBox="1"/>
      </xdr:nvSpPr>
      <xdr:spPr>
        <a:xfrm>
          <a:off x="10824257" y="947194"/>
          <a:ext cx="2272497" cy="3626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Avg</a:t>
          </a:r>
          <a:r>
            <a:rPr lang="en-US" sz="2000" b="1" baseline="0">
              <a:solidFill>
                <a:srgbClr val="05353F"/>
              </a:solidFill>
            </a:rPr>
            <a:t> Job Rate</a:t>
          </a:r>
          <a:endParaRPr lang="en-US" sz="2000" b="1">
            <a:solidFill>
              <a:srgbClr val="05353F"/>
            </a:solidFill>
          </a:endParaRPr>
        </a:p>
      </xdr:txBody>
    </xdr:sp>
    <xdr:clientData/>
  </xdr:twoCellAnchor>
  <xdr:twoCellAnchor>
    <xdr:from>
      <xdr:col>20</xdr:col>
      <xdr:colOff>408972</xdr:colOff>
      <xdr:row>6</xdr:row>
      <xdr:rowOff>115746</xdr:rowOff>
    </xdr:from>
    <xdr:to>
      <xdr:col>21</xdr:col>
      <xdr:colOff>472633</xdr:colOff>
      <xdr:row>8</xdr:row>
      <xdr:rowOff>119603</xdr:rowOff>
    </xdr:to>
    <xdr:sp macro="" textlink="'Pivot Tables &amp; Charts'!G10">
      <xdr:nvSpPr>
        <xdr:cNvPr id="33" name="TextBox 32">
          <a:extLst>
            <a:ext uri="{FF2B5EF4-FFF2-40B4-BE49-F238E27FC236}">
              <a16:creationId xmlns:a16="http://schemas.microsoft.com/office/drawing/2014/main" id="{A143C293-4691-409B-8C56-B4E9004C64DC}"/>
            </a:ext>
          </a:extLst>
        </xdr:cNvPr>
        <xdr:cNvSpPr txBox="1"/>
      </xdr:nvSpPr>
      <xdr:spPr>
        <a:xfrm>
          <a:off x="13912769" y="1331088"/>
          <a:ext cx="738851" cy="408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30C819-EBB7-48FF-898D-0A76F1BD2E09}" type="TxLink">
            <a:rPr lang="en-US" sz="2000" b="1" i="0" u="none" strike="noStrike">
              <a:solidFill>
                <a:srgbClr val="05353F"/>
              </a:solidFill>
              <a:latin typeface="Calibri"/>
              <a:ea typeface="Calibri"/>
              <a:cs typeface="Calibri"/>
            </a:rPr>
            <a:pPr/>
            <a:t>7.10</a:t>
          </a:fld>
          <a:endParaRPr lang="en-US" sz="13800" b="1">
            <a:solidFill>
              <a:srgbClr val="05353F"/>
            </a:solidFill>
          </a:endParaRPr>
        </a:p>
      </xdr:txBody>
    </xdr:sp>
    <xdr:clientData/>
  </xdr:twoCellAnchor>
  <xdr:twoCellAnchor editAs="oneCell">
    <xdr:from>
      <xdr:col>18</xdr:col>
      <xdr:colOff>373526</xdr:colOff>
      <xdr:row>5</xdr:row>
      <xdr:rowOff>101763</xdr:rowOff>
    </xdr:from>
    <xdr:to>
      <xdr:col>19</xdr:col>
      <xdr:colOff>325900</xdr:colOff>
      <xdr:row>8</xdr:row>
      <xdr:rowOff>120812</xdr:rowOff>
    </xdr:to>
    <xdr:pic>
      <xdr:nvPicPr>
        <xdr:cNvPr id="35" name="Picture 34">
          <a:extLst>
            <a:ext uri="{FF2B5EF4-FFF2-40B4-BE49-F238E27FC236}">
              <a16:creationId xmlns:a16="http://schemas.microsoft.com/office/drawing/2014/main" id="{E55A60B5-A76B-4C2F-B9C4-3618516637D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526944" y="1114548"/>
          <a:ext cx="627564" cy="626720"/>
        </a:xfrm>
        <a:prstGeom prst="rect">
          <a:avLst/>
        </a:prstGeom>
      </xdr:spPr>
    </xdr:pic>
    <xdr:clientData/>
  </xdr:twoCellAnchor>
  <xdr:twoCellAnchor>
    <xdr:from>
      <xdr:col>20</xdr:col>
      <xdr:colOff>19291</xdr:colOff>
      <xdr:row>4</xdr:row>
      <xdr:rowOff>192910</xdr:rowOff>
    </xdr:from>
    <xdr:to>
      <xdr:col>23</xdr:col>
      <xdr:colOff>266218</xdr:colOff>
      <xdr:row>6</xdr:row>
      <xdr:rowOff>150470</xdr:rowOff>
    </xdr:to>
    <xdr:sp macro="" textlink="">
      <xdr:nvSpPr>
        <xdr:cNvPr id="37" name="TextBox 36">
          <a:extLst>
            <a:ext uri="{FF2B5EF4-FFF2-40B4-BE49-F238E27FC236}">
              <a16:creationId xmlns:a16="http://schemas.microsoft.com/office/drawing/2014/main" id="{060E814E-189F-4358-A3F5-A817689A3846}"/>
            </a:ext>
          </a:extLst>
        </xdr:cNvPr>
        <xdr:cNvSpPr txBox="1"/>
      </xdr:nvSpPr>
      <xdr:spPr>
        <a:xfrm>
          <a:off x="13523088" y="1003138"/>
          <a:ext cx="2272497" cy="3626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5353F"/>
              </a:solidFill>
            </a:rPr>
            <a:t>Avg</a:t>
          </a:r>
          <a:r>
            <a:rPr lang="en-US" sz="2000" b="1" baseline="0">
              <a:solidFill>
                <a:srgbClr val="05353F"/>
              </a:solidFill>
            </a:rPr>
            <a:t> Expreience</a:t>
          </a:r>
          <a:endParaRPr lang="en-US" sz="2000" b="1">
            <a:solidFill>
              <a:srgbClr val="05353F"/>
            </a:solidFill>
          </a:endParaRPr>
        </a:p>
      </xdr:txBody>
    </xdr:sp>
    <xdr:clientData/>
  </xdr:twoCellAnchor>
  <xdr:twoCellAnchor>
    <xdr:from>
      <xdr:col>16</xdr:col>
      <xdr:colOff>300942</xdr:colOff>
      <xdr:row>6</xdr:row>
      <xdr:rowOff>127322</xdr:rowOff>
    </xdr:from>
    <xdr:to>
      <xdr:col>17</xdr:col>
      <xdr:colOff>376177</xdr:colOff>
      <xdr:row>8</xdr:row>
      <xdr:rowOff>144683</xdr:rowOff>
    </xdr:to>
    <xdr:sp macro="" textlink="'Pivot Tables &amp; Charts'!J6">
      <xdr:nvSpPr>
        <xdr:cNvPr id="38" name="TextBox 37">
          <a:extLst>
            <a:ext uri="{FF2B5EF4-FFF2-40B4-BE49-F238E27FC236}">
              <a16:creationId xmlns:a16="http://schemas.microsoft.com/office/drawing/2014/main" id="{30E0073D-FAAF-474A-9EFA-F61B688C156B}"/>
            </a:ext>
          </a:extLst>
        </xdr:cNvPr>
        <xdr:cNvSpPr txBox="1"/>
      </xdr:nvSpPr>
      <xdr:spPr>
        <a:xfrm>
          <a:off x="11103980" y="1342664"/>
          <a:ext cx="750425" cy="422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CCCDA8-E008-404B-A46E-D5ACBCFDE070}" type="TxLink">
            <a:rPr lang="en-US" sz="2000" b="1" i="0" u="none" strike="noStrike">
              <a:solidFill>
                <a:srgbClr val="05353F"/>
              </a:solidFill>
              <a:latin typeface="Calibri"/>
              <a:ea typeface="Calibri"/>
              <a:cs typeface="Calibri"/>
            </a:rPr>
            <a:pPr/>
            <a:t>3.59</a:t>
          </a:fld>
          <a:endParaRPr lang="en-US" sz="8000" b="1">
            <a:solidFill>
              <a:srgbClr val="05353F"/>
            </a:solidFill>
          </a:endParaRPr>
        </a:p>
      </xdr:txBody>
    </xdr:sp>
    <xdr:clientData/>
  </xdr:twoCellAnchor>
  <xdr:twoCellAnchor editAs="oneCell">
    <xdr:from>
      <xdr:col>22</xdr:col>
      <xdr:colOff>426456</xdr:colOff>
      <xdr:row>5</xdr:row>
      <xdr:rowOff>101159</xdr:rowOff>
    </xdr:from>
    <xdr:to>
      <xdr:col>23</xdr:col>
      <xdr:colOff>350256</xdr:colOff>
      <xdr:row>8</xdr:row>
      <xdr:rowOff>91634</xdr:rowOff>
    </xdr:to>
    <xdr:pic>
      <xdr:nvPicPr>
        <xdr:cNvPr id="40" name="Picture 39">
          <a:extLst>
            <a:ext uri="{FF2B5EF4-FFF2-40B4-BE49-F238E27FC236}">
              <a16:creationId xmlns:a16="http://schemas.microsoft.com/office/drawing/2014/main" id="{B7EAD874-F6D5-4F0B-BAA7-84628556B69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280633" y="1113944"/>
          <a:ext cx="598990" cy="59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11</xdr:row>
      <xdr:rowOff>190500</xdr:rowOff>
    </xdr:from>
    <xdr:to>
      <xdr:col>13</xdr:col>
      <xdr:colOff>15240</xdr:colOff>
      <xdr:row>12</xdr:row>
      <xdr:rowOff>7620</xdr:rowOff>
    </xdr:to>
    <xdr:cxnSp macro="">
      <xdr:nvCxnSpPr>
        <xdr:cNvPr id="3" name="Straight Connector 2">
          <a:extLst>
            <a:ext uri="{FF2B5EF4-FFF2-40B4-BE49-F238E27FC236}">
              <a16:creationId xmlns:a16="http://schemas.microsoft.com/office/drawing/2014/main" id="{78A80D73-E4C8-9840-DCDA-934146E8C1CF}"/>
            </a:ext>
          </a:extLst>
        </xdr:cNvPr>
        <xdr:cNvCxnSpPr/>
      </xdr:nvCxnSpPr>
      <xdr:spPr>
        <a:xfrm>
          <a:off x="45720" y="2369820"/>
          <a:ext cx="1155954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78</xdr:row>
      <xdr:rowOff>0</xdr:rowOff>
    </xdr:from>
    <xdr:to>
      <xdr:col>12</xdr:col>
      <xdr:colOff>640080</xdr:colOff>
      <xdr:row>78</xdr:row>
      <xdr:rowOff>15240</xdr:rowOff>
    </xdr:to>
    <xdr:cxnSp macro="">
      <xdr:nvCxnSpPr>
        <xdr:cNvPr id="4" name="Straight Connector 3">
          <a:extLst>
            <a:ext uri="{FF2B5EF4-FFF2-40B4-BE49-F238E27FC236}">
              <a16:creationId xmlns:a16="http://schemas.microsoft.com/office/drawing/2014/main" id="{79C0D20A-61D5-4B82-B0FF-9CF403353C5B}"/>
            </a:ext>
          </a:extLst>
        </xdr:cNvPr>
        <xdr:cNvCxnSpPr/>
      </xdr:nvCxnSpPr>
      <xdr:spPr>
        <a:xfrm>
          <a:off x="0" y="7924800"/>
          <a:ext cx="1515618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93</xdr:row>
      <xdr:rowOff>0</xdr:rowOff>
    </xdr:from>
    <xdr:to>
      <xdr:col>12</xdr:col>
      <xdr:colOff>640080</xdr:colOff>
      <xdr:row>93</xdr:row>
      <xdr:rowOff>15240</xdr:rowOff>
    </xdr:to>
    <xdr:cxnSp macro="">
      <xdr:nvCxnSpPr>
        <xdr:cNvPr id="5" name="Straight Connector 4">
          <a:extLst>
            <a:ext uri="{FF2B5EF4-FFF2-40B4-BE49-F238E27FC236}">
              <a16:creationId xmlns:a16="http://schemas.microsoft.com/office/drawing/2014/main" id="{C9376F1A-8F1F-4820-850B-E523B75F06C2}"/>
            </a:ext>
          </a:extLst>
        </xdr:cNvPr>
        <xdr:cNvCxnSpPr/>
      </xdr:nvCxnSpPr>
      <xdr:spPr>
        <a:xfrm>
          <a:off x="0" y="10500360"/>
          <a:ext cx="1466850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103</xdr:row>
      <xdr:rowOff>0</xdr:rowOff>
    </xdr:from>
    <xdr:to>
      <xdr:col>12</xdr:col>
      <xdr:colOff>640080</xdr:colOff>
      <xdr:row>103</xdr:row>
      <xdr:rowOff>15240</xdr:rowOff>
    </xdr:to>
    <xdr:cxnSp macro="">
      <xdr:nvCxnSpPr>
        <xdr:cNvPr id="7" name="Straight Connector 6">
          <a:extLst>
            <a:ext uri="{FF2B5EF4-FFF2-40B4-BE49-F238E27FC236}">
              <a16:creationId xmlns:a16="http://schemas.microsoft.com/office/drawing/2014/main" id="{34213E8A-E008-4E1C-9812-A169D81EBE34}"/>
            </a:ext>
          </a:extLst>
        </xdr:cNvPr>
        <xdr:cNvCxnSpPr/>
      </xdr:nvCxnSpPr>
      <xdr:spPr>
        <a:xfrm>
          <a:off x="0" y="12481560"/>
          <a:ext cx="1415034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114</xdr:row>
      <xdr:rowOff>0</xdr:rowOff>
    </xdr:from>
    <xdr:to>
      <xdr:col>12</xdr:col>
      <xdr:colOff>640080</xdr:colOff>
      <xdr:row>114</xdr:row>
      <xdr:rowOff>15240</xdr:rowOff>
    </xdr:to>
    <xdr:cxnSp macro="">
      <xdr:nvCxnSpPr>
        <xdr:cNvPr id="8" name="Straight Connector 7">
          <a:extLst>
            <a:ext uri="{FF2B5EF4-FFF2-40B4-BE49-F238E27FC236}">
              <a16:creationId xmlns:a16="http://schemas.microsoft.com/office/drawing/2014/main" id="{B53EDF06-A860-49B7-85BA-5D379CDBF306}"/>
            </a:ext>
          </a:extLst>
        </xdr:cNvPr>
        <xdr:cNvCxnSpPr/>
      </xdr:nvCxnSpPr>
      <xdr:spPr>
        <a:xfrm>
          <a:off x="0" y="14660880"/>
          <a:ext cx="1566672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125</xdr:row>
      <xdr:rowOff>0</xdr:rowOff>
    </xdr:from>
    <xdr:to>
      <xdr:col>12</xdr:col>
      <xdr:colOff>640080</xdr:colOff>
      <xdr:row>125</xdr:row>
      <xdr:rowOff>15240</xdr:rowOff>
    </xdr:to>
    <xdr:cxnSp macro="">
      <xdr:nvCxnSpPr>
        <xdr:cNvPr id="9" name="Straight Connector 8">
          <a:extLst>
            <a:ext uri="{FF2B5EF4-FFF2-40B4-BE49-F238E27FC236}">
              <a16:creationId xmlns:a16="http://schemas.microsoft.com/office/drawing/2014/main" id="{05B564C8-9559-4F35-A978-A9F1F03DFCA1}"/>
            </a:ext>
          </a:extLst>
        </xdr:cNvPr>
        <xdr:cNvCxnSpPr/>
      </xdr:nvCxnSpPr>
      <xdr:spPr>
        <a:xfrm>
          <a:off x="0" y="16840200"/>
          <a:ext cx="1553718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136</xdr:row>
      <xdr:rowOff>0</xdr:rowOff>
    </xdr:from>
    <xdr:to>
      <xdr:col>12</xdr:col>
      <xdr:colOff>640080</xdr:colOff>
      <xdr:row>136</xdr:row>
      <xdr:rowOff>15240</xdr:rowOff>
    </xdr:to>
    <xdr:cxnSp macro="">
      <xdr:nvCxnSpPr>
        <xdr:cNvPr id="10" name="Straight Connector 9">
          <a:extLst>
            <a:ext uri="{FF2B5EF4-FFF2-40B4-BE49-F238E27FC236}">
              <a16:creationId xmlns:a16="http://schemas.microsoft.com/office/drawing/2014/main" id="{12BA2A70-6AAF-4290-94D7-31E306304966}"/>
            </a:ext>
          </a:extLst>
        </xdr:cNvPr>
        <xdr:cNvCxnSpPr/>
      </xdr:nvCxnSpPr>
      <xdr:spPr>
        <a:xfrm>
          <a:off x="0" y="19019520"/>
          <a:ext cx="1578102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682256</xdr:colOff>
      <xdr:row>17</xdr:row>
      <xdr:rowOff>8860</xdr:rowOff>
    </xdr:from>
    <xdr:to>
      <xdr:col>9</xdr:col>
      <xdr:colOff>132907</xdr:colOff>
      <xdr:row>35</xdr:row>
      <xdr:rowOff>168349</xdr:rowOff>
    </xdr:to>
    <xdr:graphicFrame macro="">
      <xdr:nvGraphicFramePr>
        <xdr:cNvPr id="6" name="Chart 5">
          <a:extLst>
            <a:ext uri="{FF2B5EF4-FFF2-40B4-BE49-F238E27FC236}">
              <a16:creationId xmlns:a16="http://schemas.microsoft.com/office/drawing/2014/main" id="{5B0BFED3-464B-4D16-99A8-19450FF90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147</xdr:row>
      <xdr:rowOff>0</xdr:rowOff>
    </xdr:from>
    <xdr:to>
      <xdr:col>12</xdr:col>
      <xdr:colOff>640080</xdr:colOff>
      <xdr:row>147</xdr:row>
      <xdr:rowOff>15240</xdr:rowOff>
    </xdr:to>
    <xdr:cxnSp macro="">
      <xdr:nvCxnSpPr>
        <xdr:cNvPr id="11" name="Straight Connector 10">
          <a:extLst>
            <a:ext uri="{FF2B5EF4-FFF2-40B4-BE49-F238E27FC236}">
              <a16:creationId xmlns:a16="http://schemas.microsoft.com/office/drawing/2014/main" id="{780BAFCC-1226-44BC-9C1A-EF687CC9A8DE}"/>
            </a:ext>
          </a:extLst>
        </xdr:cNvPr>
        <xdr:cNvCxnSpPr/>
      </xdr:nvCxnSpPr>
      <xdr:spPr>
        <a:xfrm>
          <a:off x="0" y="20857535"/>
          <a:ext cx="1512694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17720</xdr:colOff>
      <xdr:row>148</xdr:row>
      <xdr:rowOff>183413</xdr:rowOff>
    </xdr:from>
    <xdr:to>
      <xdr:col>9</xdr:col>
      <xdr:colOff>177209</xdr:colOff>
      <xdr:row>158</xdr:row>
      <xdr:rowOff>79745</xdr:rowOff>
    </xdr:to>
    <xdr:graphicFrame macro="">
      <xdr:nvGraphicFramePr>
        <xdr:cNvPr id="12" name="Chart 11">
          <a:extLst>
            <a:ext uri="{FF2B5EF4-FFF2-40B4-BE49-F238E27FC236}">
              <a16:creationId xmlns:a16="http://schemas.microsoft.com/office/drawing/2014/main" id="{0A3FA31B-D902-B545-737B-82E4ABCB9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336699</xdr:colOff>
      <xdr:row>79</xdr:row>
      <xdr:rowOff>8863</xdr:rowOff>
    </xdr:from>
    <xdr:to>
      <xdr:col>7</xdr:col>
      <xdr:colOff>292395</xdr:colOff>
      <xdr:row>91</xdr:row>
      <xdr:rowOff>186069</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2C078F79-64AD-3567-1746-A363100DC5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226959" y="15660343"/>
              <a:ext cx="3895236" cy="255464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xdr:colOff>
      <xdr:row>93</xdr:row>
      <xdr:rowOff>165693</xdr:rowOff>
    </xdr:from>
    <xdr:to>
      <xdr:col>4</xdr:col>
      <xdr:colOff>1479700</xdr:colOff>
      <xdr:row>102</xdr:row>
      <xdr:rowOff>141769</xdr:rowOff>
    </xdr:to>
    <xdr:graphicFrame macro="">
      <xdr:nvGraphicFramePr>
        <xdr:cNvPr id="14" name="Chart 13">
          <a:extLst>
            <a:ext uri="{FF2B5EF4-FFF2-40B4-BE49-F238E27FC236}">
              <a16:creationId xmlns:a16="http://schemas.microsoft.com/office/drawing/2014/main" id="{1FD174E0-EC41-D1F7-1FAB-94E652F6A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162</xdr:row>
      <xdr:rowOff>0</xdr:rowOff>
    </xdr:from>
    <xdr:to>
      <xdr:col>12</xdr:col>
      <xdr:colOff>640080</xdr:colOff>
      <xdr:row>162</xdr:row>
      <xdr:rowOff>15240</xdr:rowOff>
    </xdr:to>
    <xdr:cxnSp macro="">
      <xdr:nvCxnSpPr>
        <xdr:cNvPr id="16" name="Straight Connector 15">
          <a:extLst>
            <a:ext uri="{FF2B5EF4-FFF2-40B4-BE49-F238E27FC236}">
              <a16:creationId xmlns:a16="http://schemas.microsoft.com/office/drawing/2014/main" id="{8025E82B-33EA-4353-9F3F-2FB2BACFB7BC}"/>
            </a:ext>
          </a:extLst>
        </xdr:cNvPr>
        <xdr:cNvCxnSpPr/>
      </xdr:nvCxnSpPr>
      <xdr:spPr>
        <a:xfrm>
          <a:off x="0" y="24171349"/>
          <a:ext cx="13762429"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699979</xdr:colOff>
      <xdr:row>168</xdr:row>
      <xdr:rowOff>0</xdr:rowOff>
    </xdr:from>
    <xdr:to>
      <xdr:col>7</xdr:col>
      <xdr:colOff>673396</xdr:colOff>
      <xdr:row>185</xdr:row>
      <xdr:rowOff>108982</xdr:rowOff>
    </xdr:to>
    <xdr:graphicFrame macro="">
      <xdr:nvGraphicFramePr>
        <xdr:cNvPr id="17" name="Chart 16">
          <a:extLst>
            <a:ext uri="{FF2B5EF4-FFF2-40B4-BE49-F238E27FC236}">
              <a16:creationId xmlns:a16="http://schemas.microsoft.com/office/drawing/2014/main" id="{B37AAE8F-7648-E0C0-272C-00A218A84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832882</xdr:colOff>
      <xdr:row>125</xdr:row>
      <xdr:rowOff>156831</xdr:rowOff>
    </xdr:from>
    <xdr:to>
      <xdr:col>6</xdr:col>
      <xdr:colOff>513906</xdr:colOff>
      <xdr:row>135</xdr:row>
      <xdr:rowOff>62023</xdr:rowOff>
    </xdr:to>
    <xdr:graphicFrame macro="">
      <xdr:nvGraphicFramePr>
        <xdr:cNvPr id="18" name="Chart 17">
          <a:extLst>
            <a:ext uri="{FF2B5EF4-FFF2-40B4-BE49-F238E27FC236}">
              <a16:creationId xmlns:a16="http://schemas.microsoft.com/office/drawing/2014/main" id="{D2156E8A-3E25-1332-75B4-769A724AC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40</xdr:row>
      <xdr:rowOff>0</xdr:rowOff>
    </xdr:from>
    <xdr:to>
      <xdr:col>12</xdr:col>
      <xdr:colOff>651776</xdr:colOff>
      <xdr:row>40</xdr:row>
      <xdr:rowOff>12050</xdr:rowOff>
    </xdr:to>
    <xdr:cxnSp macro="">
      <xdr:nvCxnSpPr>
        <xdr:cNvPr id="21" name="Straight Connector 20">
          <a:extLst>
            <a:ext uri="{FF2B5EF4-FFF2-40B4-BE49-F238E27FC236}">
              <a16:creationId xmlns:a16="http://schemas.microsoft.com/office/drawing/2014/main" id="{776B75F1-54B1-4EC2-8EC8-FA690AA7EB86}"/>
            </a:ext>
          </a:extLst>
        </xdr:cNvPr>
        <xdr:cNvCxnSpPr/>
      </xdr:nvCxnSpPr>
      <xdr:spPr>
        <a:xfrm>
          <a:off x="0" y="7797209"/>
          <a:ext cx="13862729" cy="120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1399953</xdr:colOff>
      <xdr:row>44</xdr:row>
      <xdr:rowOff>17722</xdr:rowOff>
    </xdr:from>
    <xdr:to>
      <xdr:col>6</xdr:col>
      <xdr:colOff>469605</xdr:colOff>
      <xdr:row>57</xdr:row>
      <xdr:rowOff>124047</xdr:rowOff>
    </xdr:to>
    <xdr:graphicFrame macro="">
      <xdr:nvGraphicFramePr>
        <xdr:cNvPr id="22" name="Chart 21">
          <a:extLst>
            <a:ext uri="{FF2B5EF4-FFF2-40B4-BE49-F238E27FC236}">
              <a16:creationId xmlns:a16="http://schemas.microsoft.com/office/drawing/2014/main" id="{4280B45E-09CB-D352-FEB1-E207A1AD3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540489</xdr:colOff>
      <xdr:row>17</xdr:row>
      <xdr:rowOff>6201</xdr:rowOff>
    </xdr:from>
    <xdr:to>
      <xdr:col>14</xdr:col>
      <xdr:colOff>17722</xdr:colOff>
      <xdr:row>35</xdr:row>
      <xdr:rowOff>141768</xdr:rowOff>
    </xdr:to>
    <xdr:graphicFrame macro="">
      <xdr:nvGraphicFramePr>
        <xdr:cNvPr id="23" name="Chart 22">
          <a:extLst>
            <a:ext uri="{FF2B5EF4-FFF2-40B4-BE49-F238E27FC236}">
              <a16:creationId xmlns:a16="http://schemas.microsoft.com/office/drawing/2014/main" id="{9BD83CE9-4D2E-D079-5356-CEAEDEE7A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70883</xdr:colOff>
      <xdr:row>136</xdr:row>
      <xdr:rowOff>103666</xdr:rowOff>
    </xdr:from>
    <xdr:to>
      <xdr:col>8</xdr:col>
      <xdr:colOff>318975</xdr:colOff>
      <xdr:row>146</xdr:row>
      <xdr:rowOff>70883</xdr:rowOff>
    </xdr:to>
    <xdr:graphicFrame macro="">
      <xdr:nvGraphicFramePr>
        <xdr:cNvPr id="24" name="Chart 23">
          <a:extLst>
            <a:ext uri="{FF2B5EF4-FFF2-40B4-BE49-F238E27FC236}">
              <a16:creationId xmlns:a16="http://schemas.microsoft.com/office/drawing/2014/main" id="{A65A8CBE-9CAB-AE3F-0DA8-EF983D26C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815162</xdr:colOff>
      <xdr:row>114</xdr:row>
      <xdr:rowOff>192273</xdr:rowOff>
    </xdr:from>
    <xdr:to>
      <xdr:col>6</xdr:col>
      <xdr:colOff>1045535</xdr:colOff>
      <xdr:row>124</xdr:row>
      <xdr:rowOff>97465</xdr:rowOff>
    </xdr:to>
    <xdr:graphicFrame macro="">
      <xdr:nvGraphicFramePr>
        <xdr:cNvPr id="25" name="Chart 24">
          <a:extLst>
            <a:ext uri="{FF2B5EF4-FFF2-40B4-BE49-F238E27FC236}">
              <a16:creationId xmlns:a16="http://schemas.microsoft.com/office/drawing/2014/main" id="{D84A54F7-BC3A-6F2F-CA5A-B5624B470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939209</xdr:colOff>
      <xdr:row>136</xdr:row>
      <xdr:rowOff>174551</xdr:rowOff>
    </xdr:from>
    <xdr:to>
      <xdr:col>4</xdr:col>
      <xdr:colOff>1479698</xdr:colOff>
      <xdr:row>146</xdr:row>
      <xdr:rowOff>44302</xdr:rowOff>
    </xdr:to>
    <xdr:graphicFrame macro="">
      <xdr:nvGraphicFramePr>
        <xdr:cNvPr id="26" name="Chart 25">
          <a:extLst>
            <a:ext uri="{FF2B5EF4-FFF2-40B4-BE49-F238E27FC236}">
              <a16:creationId xmlns:a16="http://schemas.microsoft.com/office/drawing/2014/main" id="{C3AABE0E-1D13-A96E-E4E6-D21692695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549347</xdr:colOff>
      <xdr:row>104</xdr:row>
      <xdr:rowOff>135466</xdr:rowOff>
    </xdr:from>
    <xdr:to>
      <xdr:col>7</xdr:col>
      <xdr:colOff>609600</xdr:colOff>
      <xdr:row>113</xdr:row>
      <xdr:rowOff>115186</xdr:rowOff>
    </xdr:to>
    <xdr:graphicFrame macro="">
      <xdr:nvGraphicFramePr>
        <xdr:cNvPr id="27" name="Chart 26">
          <a:extLst>
            <a:ext uri="{FF2B5EF4-FFF2-40B4-BE49-F238E27FC236}">
              <a16:creationId xmlns:a16="http://schemas.microsoft.com/office/drawing/2014/main" id="{809BE911-FAC6-1DE5-EC33-B6C8C65D4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347133</xdr:colOff>
      <xdr:row>104</xdr:row>
      <xdr:rowOff>152399</xdr:rowOff>
    </xdr:from>
    <xdr:to>
      <xdr:col>12</xdr:col>
      <xdr:colOff>476693</xdr:colOff>
      <xdr:row>112</xdr:row>
      <xdr:rowOff>142162</xdr:rowOff>
    </xdr:to>
    <xdr:graphicFrame macro="">
      <xdr:nvGraphicFramePr>
        <xdr:cNvPr id="28" name="Chart 27">
          <a:extLst>
            <a:ext uri="{FF2B5EF4-FFF2-40B4-BE49-F238E27FC236}">
              <a16:creationId xmlns:a16="http://schemas.microsoft.com/office/drawing/2014/main" id="{AF0BFA97-6CC1-847F-2B3F-7D6844A2D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7</xdr:col>
      <xdr:colOff>15063</xdr:colOff>
      <xdr:row>43</xdr:row>
      <xdr:rowOff>15948</xdr:rowOff>
    </xdr:from>
    <xdr:to>
      <xdr:col>9</xdr:col>
      <xdr:colOff>479353</xdr:colOff>
      <xdr:row>60</xdr:row>
      <xdr:rowOff>177208</xdr:rowOff>
    </xdr:to>
    <mc:AlternateContent xmlns:mc="http://schemas.openxmlformats.org/markup-compatibility/2006" xmlns:a14="http://schemas.microsoft.com/office/drawing/2010/main">
      <mc:Choice Requires="a14">
        <xdr:graphicFrame macro="">
          <xdr:nvGraphicFramePr>
            <xdr:cNvPr id="29" name="Department">
              <a:extLst>
                <a:ext uri="{FF2B5EF4-FFF2-40B4-BE49-F238E27FC236}">
                  <a16:creationId xmlns:a16="http://schemas.microsoft.com/office/drawing/2014/main" id="{A47DF66E-8C84-5D21-0C32-089C59BCD11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319784" y="8397948"/>
              <a:ext cx="1828800" cy="3475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629095</xdr:colOff>
      <xdr:row>17</xdr:row>
      <xdr:rowOff>32784</xdr:rowOff>
    </xdr:from>
    <xdr:to>
      <xdr:col>19</xdr:col>
      <xdr:colOff>735420</xdr:colOff>
      <xdr:row>35</xdr:row>
      <xdr:rowOff>150628</xdr:rowOff>
    </xdr:to>
    <xdr:graphicFrame macro="">
      <xdr:nvGraphicFramePr>
        <xdr:cNvPr id="2" name="Chart 1">
          <a:extLst>
            <a:ext uri="{FF2B5EF4-FFF2-40B4-BE49-F238E27FC236}">
              <a16:creationId xmlns:a16="http://schemas.microsoft.com/office/drawing/2014/main" id="{B93370F4-BC4D-881A-52C8-466DA4876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9</xdr:col>
      <xdr:colOff>13114</xdr:colOff>
      <xdr:row>80</xdr:row>
      <xdr:rowOff>17543</xdr:rowOff>
    </xdr:from>
    <xdr:to>
      <xdr:col>10</xdr:col>
      <xdr:colOff>663864</xdr:colOff>
      <xdr:row>90</xdr:row>
      <xdr:rowOff>8860</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5668A482-583B-26CB-9C23-1A917CD5167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849463" y="15611962"/>
              <a:ext cx="1828800" cy="1940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85592</xdr:colOff>
      <xdr:row>95</xdr:row>
      <xdr:rowOff>1419</xdr:rowOff>
    </xdr:from>
    <xdr:to>
      <xdr:col>6</xdr:col>
      <xdr:colOff>1152392</xdr:colOff>
      <xdr:row>101</xdr:row>
      <xdr:rowOff>88607</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E4E44F98-E1AA-C751-9A41-131179EE2F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00545" y="18519791"/>
              <a:ext cx="1828800" cy="1256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902350</xdr:colOff>
      <xdr:row>127</xdr:row>
      <xdr:rowOff>20735</xdr:rowOff>
    </xdr:from>
    <xdr:to>
      <xdr:col>9</xdr:col>
      <xdr:colOff>20637</xdr:colOff>
      <xdr:row>133</xdr:row>
      <xdr:rowOff>186070</xdr:rowOff>
    </xdr:to>
    <mc:AlternateContent xmlns:mc="http://schemas.openxmlformats.org/markup-compatibility/2006" xmlns:a14="http://schemas.microsoft.com/office/drawing/2010/main">
      <mc:Choice Requires="a14">
        <xdr:graphicFrame macro="">
          <xdr:nvGraphicFramePr>
            <xdr:cNvPr id="20" name="Salary Classification">
              <a:extLst>
                <a:ext uri="{FF2B5EF4-FFF2-40B4-BE49-F238E27FC236}">
                  <a16:creationId xmlns:a16="http://schemas.microsoft.com/office/drawing/2014/main" id="{CE369F56-AB6D-2C5D-39E3-E4650AFF14C2}"/>
                </a:ext>
              </a:extLst>
            </xdr:cNvPr>
            <xdr:cNvGraphicFramePr/>
          </xdr:nvGraphicFramePr>
          <xdr:xfrm>
            <a:off x="0" y="0"/>
            <a:ext cx="0" cy="0"/>
          </xdr:xfrm>
          <a:graphic>
            <a:graphicData uri="http://schemas.microsoft.com/office/drawing/2010/slicer">
              <sle:slicer xmlns:sle="http://schemas.microsoft.com/office/drawing/2010/slicer" name="Salary Classification"/>
            </a:graphicData>
          </a:graphic>
        </xdr:graphicFrame>
      </mc:Choice>
      <mc:Fallback xmlns="">
        <xdr:sp macro="" textlink="">
          <xdr:nvSpPr>
            <xdr:cNvPr id="0" name=""/>
            <xdr:cNvSpPr>
              <a:spLocks noTextEdit="1"/>
            </xdr:cNvSpPr>
          </xdr:nvSpPr>
          <xdr:spPr>
            <a:xfrm>
              <a:off x="8779303" y="24776875"/>
              <a:ext cx="1828800" cy="1334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484313</xdr:colOff>
      <xdr:row>149</xdr:row>
      <xdr:rowOff>59187</xdr:rowOff>
    </xdr:from>
    <xdr:to>
      <xdr:col>11</xdr:col>
      <xdr:colOff>373063</xdr:colOff>
      <xdr:row>158</xdr:row>
      <xdr:rowOff>124046</xdr:rowOff>
    </xdr:to>
    <mc:AlternateContent xmlns:mc="http://schemas.openxmlformats.org/markup-compatibility/2006" xmlns:a14="http://schemas.microsoft.com/office/drawing/2010/main">
      <mc:Choice Requires="a14">
        <xdr:graphicFrame macro="">
          <xdr:nvGraphicFramePr>
            <xdr:cNvPr id="31" name="Start Date (Year)">
              <a:extLst>
                <a:ext uri="{FF2B5EF4-FFF2-40B4-BE49-F238E27FC236}">
                  <a16:creationId xmlns:a16="http://schemas.microsoft.com/office/drawing/2014/main" id="{A870F59D-C14D-38F9-6E80-CE1C51AD25E9}"/>
                </a:ext>
              </a:extLst>
            </xdr:cNvPr>
            <xdr:cNvGraphicFramePr/>
          </xdr:nvGraphicFramePr>
          <xdr:xfrm>
            <a:off x="0" y="0"/>
            <a:ext cx="0" cy="0"/>
          </xdr:xfrm>
          <a:graphic>
            <a:graphicData uri="http://schemas.microsoft.com/office/drawing/2010/slicer">
              <sle:slicer xmlns:sle="http://schemas.microsoft.com/office/drawing/2010/slicer" name="Start Date (Year)"/>
            </a:graphicData>
          </a:graphic>
        </xdr:graphicFrame>
      </mc:Choice>
      <mc:Fallback xmlns="">
        <xdr:sp macro="" textlink="">
          <xdr:nvSpPr>
            <xdr:cNvPr id="0" name=""/>
            <xdr:cNvSpPr>
              <a:spLocks noTextEdit="1"/>
            </xdr:cNvSpPr>
          </xdr:nvSpPr>
          <xdr:spPr>
            <a:xfrm>
              <a:off x="11320662" y="29103792"/>
              <a:ext cx="1828800" cy="1819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572919</xdr:colOff>
      <xdr:row>137</xdr:row>
      <xdr:rowOff>144958</xdr:rowOff>
    </xdr:from>
    <xdr:to>
      <xdr:col>10</xdr:col>
      <xdr:colOff>541414</xdr:colOff>
      <xdr:row>145</xdr:row>
      <xdr:rowOff>88605</xdr:rowOff>
    </xdr:to>
    <mc:AlternateContent xmlns:mc="http://schemas.openxmlformats.org/markup-compatibility/2006" xmlns:a14="http://schemas.microsoft.com/office/drawing/2010/main">
      <mc:Choice Requires="a14">
        <xdr:graphicFrame macro="">
          <xdr:nvGraphicFramePr>
            <xdr:cNvPr id="32" name="Job Rate Category">
              <a:extLst>
                <a:ext uri="{FF2B5EF4-FFF2-40B4-BE49-F238E27FC236}">
                  <a16:creationId xmlns:a16="http://schemas.microsoft.com/office/drawing/2014/main" id="{FCF1A506-74C4-24EB-1D70-0913E1E2FD9C}"/>
                </a:ext>
              </a:extLst>
            </xdr:cNvPr>
            <xdr:cNvGraphicFramePr/>
          </xdr:nvGraphicFramePr>
          <xdr:xfrm>
            <a:off x="0" y="0"/>
            <a:ext cx="0" cy="0"/>
          </xdr:xfrm>
          <a:graphic>
            <a:graphicData uri="http://schemas.microsoft.com/office/drawing/2010/slicer">
              <sle:slicer xmlns:sle="http://schemas.microsoft.com/office/drawing/2010/slicer" name="Job Rate Category"/>
            </a:graphicData>
          </a:graphic>
        </xdr:graphicFrame>
      </mc:Choice>
      <mc:Fallback xmlns="">
        <xdr:sp macro="" textlink="">
          <xdr:nvSpPr>
            <xdr:cNvPr id="0" name=""/>
            <xdr:cNvSpPr>
              <a:spLocks noTextEdit="1"/>
            </xdr:cNvSpPr>
          </xdr:nvSpPr>
          <xdr:spPr>
            <a:xfrm>
              <a:off x="10727012" y="26850400"/>
              <a:ext cx="1828800" cy="1503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650240</xdr:colOff>
      <xdr:row>105</xdr:row>
      <xdr:rowOff>28787</xdr:rowOff>
    </xdr:from>
    <xdr:to>
      <xdr:col>15</xdr:col>
      <xdr:colOff>362373</xdr:colOff>
      <xdr:row>112</xdr:row>
      <xdr:rowOff>127001</xdr:rowOff>
    </xdr:to>
    <mc:AlternateContent xmlns:mc="http://schemas.openxmlformats.org/markup-compatibility/2006" xmlns:a14="http://schemas.microsoft.com/office/drawing/2010/main">
      <mc:Choice Requires="a14">
        <xdr:graphicFrame macro="">
          <xdr:nvGraphicFramePr>
            <xdr:cNvPr id="30" name="Experience Group">
              <a:extLst>
                <a:ext uri="{FF2B5EF4-FFF2-40B4-BE49-F238E27FC236}">
                  <a16:creationId xmlns:a16="http://schemas.microsoft.com/office/drawing/2014/main" id="{E4DBE02A-6867-E476-8D8F-7C5EF59B27F7}"/>
                </a:ext>
              </a:extLst>
            </xdr:cNvPr>
            <xdr:cNvGraphicFramePr/>
          </xdr:nvGraphicFramePr>
          <xdr:xfrm>
            <a:off x="0" y="0"/>
            <a:ext cx="0" cy="0"/>
          </xdr:xfrm>
          <a:graphic>
            <a:graphicData uri="http://schemas.microsoft.com/office/drawing/2010/slicer">
              <sle:slicer xmlns:sle="http://schemas.microsoft.com/office/drawing/2010/slicer" name="Experience Group"/>
            </a:graphicData>
          </a:graphic>
        </xdr:graphicFrame>
      </mc:Choice>
      <mc:Fallback xmlns="">
        <xdr:sp macro="" textlink="">
          <xdr:nvSpPr>
            <xdr:cNvPr id="0" name=""/>
            <xdr:cNvSpPr>
              <a:spLocks noTextEdit="1"/>
            </xdr:cNvSpPr>
          </xdr:nvSpPr>
          <xdr:spPr>
            <a:xfrm>
              <a:off x="14467840" y="20475787"/>
              <a:ext cx="1828800" cy="14613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1327572</xdr:colOff>
      <xdr:row>115</xdr:row>
      <xdr:rowOff>162561</xdr:rowOff>
    </xdr:from>
    <xdr:to>
      <xdr:col>9</xdr:col>
      <xdr:colOff>455506</xdr:colOff>
      <xdr:row>122</xdr:row>
      <xdr:rowOff>152401</xdr:rowOff>
    </xdr:to>
    <mc:AlternateContent xmlns:mc="http://schemas.openxmlformats.org/markup-compatibility/2006" xmlns:a14="http://schemas.microsoft.com/office/drawing/2010/main">
      <mc:Choice Requires="a14">
        <xdr:graphicFrame macro="">
          <xdr:nvGraphicFramePr>
            <xdr:cNvPr id="33" name="Overtime Category">
              <a:extLst>
                <a:ext uri="{FF2B5EF4-FFF2-40B4-BE49-F238E27FC236}">
                  <a16:creationId xmlns:a16="http://schemas.microsoft.com/office/drawing/2014/main" id="{4263C78A-D589-A281-6810-DDC08C722D0E}"/>
                </a:ext>
              </a:extLst>
            </xdr:cNvPr>
            <xdr:cNvGraphicFramePr/>
          </xdr:nvGraphicFramePr>
          <xdr:xfrm>
            <a:off x="0" y="0"/>
            <a:ext cx="0" cy="0"/>
          </xdr:xfrm>
          <a:graphic>
            <a:graphicData uri="http://schemas.microsoft.com/office/drawing/2010/slicer">
              <sle:slicer xmlns:sle="http://schemas.microsoft.com/office/drawing/2010/slicer" name="Overtime Category"/>
            </a:graphicData>
          </a:graphic>
        </xdr:graphicFrame>
      </mc:Choice>
      <mc:Fallback xmlns="">
        <xdr:sp macro="" textlink="">
          <xdr:nvSpPr>
            <xdr:cNvPr id="0" name=""/>
            <xdr:cNvSpPr>
              <a:spLocks noTextEdit="1"/>
            </xdr:cNvSpPr>
          </xdr:nvSpPr>
          <xdr:spPr>
            <a:xfrm>
              <a:off x="9819639" y="22556894"/>
              <a:ext cx="1828800" cy="135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38773146" backgroundQuery="1" createdVersion="8" refreshedVersion="8" minRefreshableVersion="3" recordCount="0" supportSubquery="1" supportAdvancedDrill="1" xr:uid="{9FBBC207-17F8-4B2B-AD11-B1417BF8C6EB}">
  <cacheSource type="external" connectionId="2"/>
  <cacheFields count="2">
    <cacheField name="[Measures].[Total Employees]" caption="Total Employees" numFmtId="0" hierarchy="26"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1"/>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0"/>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3912037" backgroundQuery="1" createdVersion="8" refreshedVersion="8" minRefreshableVersion="3" recordCount="0" supportSubquery="1" supportAdvancedDrill="1" xr:uid="{9558F865-0C2A-44DC-9038-93A895FACC3D}">
  <cacheSource type="external" connectionId="2"/>
  <cacheFields count="3">
    <cacheField name="[Employees_Clean].[Country].[Country]" caption="Country" numFmtId="0" hierarchy="9" level="1">
      <sharedItems count="5">
        <s v="Egypt"/>
        <s v="Lebanon"/>
        <s v="Saudi Arabia"/>
        <s v="Syria"/>
        <s v="United Arab Emirates"/>
      </sharedItems>
    </cacheField>
    <cacheField name="[Measures].[Total Employees]" caption="Total Employees" numFmtId="0" hierarchy="26"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fieldsUsage count="2">
        <fieldUsage x="-1"/>
        <fieldUsage x="0"/>
      </fieldsUsage>
    </cacheHierarchy>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39467593" backgroundQuery="1" createdVersion="8" refreshedVersion="8" minRefreshableVersion="3" recordCount="0" supportSubquery="1" supportAdvancedDrill="1" xr:uid="{21DCBD07-05D3-4115-9003-42199B743CC4}">
  <cacheSource type="external" connectionId="2"/>
  <cacheFields count="3">
    <cacheField name="[Employees_Clean].[Start Date (Year)].[Start Date (Year)]" caption="Start Date (Year)" numFmtId="0" hierarchy="22" level="1">
      <sharedItems count="5">
        <s v="2016"/>
        <s v="2017"/>
        <s v="2018"/>
        <s v="2019"/>
        <s v="2020"/>
      </sharedItems>
    </cacheField>
    <cacheField name="[Measures].[Total Employees]" caption="Total Employees" numFmtId="0" hierarchy="26"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fieldsUsage count="2">
        <fieldUsage x="-1"/>
        <fieldUsage x="0"/>
      </fieldsUsage>
    </cacheHierarchy>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39814816" backgroundQuery="1" createdVersion="8" refreshedVersion="8" minRefreshableVersion="3" recordCount="0" supportSubquery="1" supportAdvancedDrill="1" xr:uid="{6D77299F-63AF-4A45-B6F2-52F31AA84585}">
  <cacheSource type="external" connectionId="2"/>
  <cacheFields count="4">
    <cacheField name="[Employees_Clean].[Country].[Country]" caption="Country" numFmtId="0" hierarchy="9" level="1">
      <sharedItems count="5">
        <s v="Egypt"/>
        <s v="Lebanon"/>
        <s v="Saudi Arabia"/>
        <s v="Syria"/>
        <s v="United Arab Emirates"/>
      </sharedItems>
    </cacheField>
    <cacheField name="[Measures].[Total Employees]" caption="Total Employees" numFmtId="0" hierarchy="26" level="32767"/>
    <cacheField name="[Employees_Clean].[Gender].[Gender]" caption="Gender" numFmtId="0" hierarchy="4" level="1">
      <sharedItems count="2">
        <s v="Female"/>
        <s v="Male"/>
      </sharedItems>
    </cacheField>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fieldsUsage count="2">
        <fieldUsage x="-1"/>
        <fieldUsage x="2"/>
      </fieldsUsage>
    </cacheHierarchy>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fieldsUsage count="2">
        <fieldUsage x="-1"/>
        <fieldUsage x="0"/>
      </fieldsUsage>
    </cacheHierarchy>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3"/>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0162039" backgroundQuery="1" createdVersion="8" refreshedVersion="8" minRefreshableVersion="3" recordCount="0" supportSubquery="1" supportAdvancedDrill="1" xr:uid="{7C627344-BE2E-40E2-AA12-F124EB99ACB4}">
  <cacheSource type="external" connectionId="2"/>
  <cacheFields count="5">
    <cacheField name="[Employees_Clean].[Experience Group].[Experience Group]" caption="Experience Group" numFmtId="0" hierarchy="7" level="1">
      <sharedItems count="3">
        <s v="5-6 Years"/>
        <s v="7-8 Years"/>
        <s v="9-10 Years"/>
      </sharedItems>
    </cacheField>
    <cacheField name="[Measures].[Total Employees]" caption="Total Employees" numFmtId="0" hierarchy="26" level="32767"/>
    <cacheField name="[Measures].[Average Monthly Salary]" caption="Average Monthly Salary" numFmtId="0" hierarchy="28" level="32767"/>
    <cacheField name="[Measures].[Average Job Rate]" caption="Average Job Rate" numFmtId="0" hierarchy="29"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fieldsUsage count="2">
        <fieldUsage x="-1"/>
        <fieldUsage x="0"/>
      </fieldsUsage>
    </cacheHierarchy>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4"/>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oneField="1">
      <fieldsUsage count="1">
        <fieldUsage x="2"/>
      </fieldsUsage>
    </cacheHierarchy>
    <cacheHierarchy uniqueName="[Measures].[Average Job Rate]" caption="Average Job Rate" measure="1" displayFolder="" measureGroup="Employees_Clean" count="0" oneField="1">
      <fieldsUsage count="1">
        <fieldUsage x="3"/>
      </fieldsUsage>
    </cacheHierarchy>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0625001" backgroundQuery="1" createdVersion="8" refreshedVersion="8" minRefreshableVersion="3" recordCount="0" supportSubquery="1" supportAdvancedDrill="1" xr:uid="{8AC49FEA-C431-463C-97D4-A45F14336172}">
  <cacheSource type="external" connectionId="2"/>
  <cacheFields count="4">
    <cacheField name="[Employees_Clean].[Overtime Category].[Overtime Category]" caption="Overtime Category" numFmtId="0" hierarchy="21" level="1">
      <sharedItems count="3">
        <s v="High Overtime"/>
        <s v="No Overtime"/>
        <s v="Normal"/>
      </sharedItems>
    </cacheField>
    <cacheField name="[Measures].[Total Employees]" caption="Total Employees" numFmtId="0" hierarchy="26" level="32767"/>
    <cacheField name="[Measures].[Total Overtime Hours]" caption="Total Overtime Hours" numFmtId="0" hierarchy="30"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3"/>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fieldsUsage count="2">
        <fieldUsage x="-1"/>
        <fieldUsage x="0"/>
      </fieldsUsage>
    </cacheHierarchy>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oneField="1">
      <fieldsUsage count="1">
        <fieldUsage x="2"/>
      </fieldsUsage>
    </cacheHierarchy>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0972224" backgroundQuery="1" createdVersion="8" refreshedVersion="8" minRefreshableVersion="3" recordCount="0" supportSubquery="1" supportAdvancedDrill="1" xr:uid="{6F6FB441-E7FA-49B5-8A2F-60158D6EC257}">
  <cacheSource type="external" connectionId="2"/>
  <cacheFields count="4">
    <cacheField name="[Employees_Clean].[Overtime Category].[Overtime Category]" caption="Overtime Category" numFmtId="0" hierarchy="21" level="1">
      <sharedItems count="3">
        <s v="High Overtime"/>
        <s v="No Overtime"/>
        <s v="Normal"/>
      </sharedItems>
    </cacheField>
    <cacheField name="[Measures].[Total Employees]" caption="Total Employees" numFmtId="0" hierarchy="26" level="32767"/>
    <cacheField name="[Employees_Clean].[Salary Classification].[Salary Classification]" caption="Salary Classification" numFmtId="0" hierarchy="12" level="1">
      <sharedItems count="3">
        <s v="High"/>
        <s v="Low"/>
        <s v="Medium"/>
      </sharedItems>
    </cacheField>
    <cacheField name="[Measures].[Average Monthly Salary]" caption="Average Monthly Salary" numFmtId="0" hierarchy="28" level="32767"/>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fieldsUsage count="2">
        <fieldUsage x="-1"/>
        <fieldUsage x="0"/>
      </fieldsUsage>
    </cacheHierarchy>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oneField="1">
      <fieldsUsage count="1">
        <fieldUsage x="3"/>
      </fieldsUsage>
    </cacheHierarchy>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1319448" backgroundQuery="1" createdVersion="8" refreshedVersion="8" minRefreshableVersion="3" recordCount="0" supportSubquery="1" supportAdvancedDrill="1" xr:uid="{FA21971C-C41E-4134-A4B5-D6473B47350E}">
  <cacheSource type="external" connectionId="2"/>
  <cacheFields count="4">
    <cacheField name="[Employees_Clean].[Overtime Category].[Overtime Category]" caption="Overtime Category" numFmtId="0" hierarchy="21" level="1">
      <sharedItems count="3">
        <s v="High Overtime"/>
        <s v="No Overtime"/>
        <s v="Normal"/>
      </sharedItems>
    </cacheField>
    <cacheField name="[Measures].[Total Employees]" caption="Total Employees" numFmtId="0" hierarchy="26" level="32767"/>
    <cacheField name="[Employees_Clean].[Job Rate Category].[Job Rate Category]" caption="Job Rate Category" numFmtId="0" hierarchy="16" level="1">
      <sharedItems count="3">
        <s v="High"/>
        <s v="Low"/>
        <s v="Medium"/>
      </sharedItems>
    </cacheField>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3"/>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fieldsUsage count="2">
        <fieldUsage x="-1"/>
        <fieldUsage x="2"/>
      </fieldsUsage>
    </cacheHierarchy>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fieldsUsage count="2">
        <fieldUsage x="-1"/>
        <fieldUsage x="0"/>
      </fieldsUsage>
    </cacheHierarchy>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1666664" backgroundQuery="1" createdVersion="8" refreshedVersion="8" minRefreshableVersion="3" recordCount="0" supportSubquery="1" supportAdvancedDrill="1" xr:uid="{5794A229-F5E7-4015-8B2D-3EAA8FF49488}">
  <cacheSource type="external" connectionId="2"/>
  <cacheFields count="5">
    <cacheField name="[Employees_Clean].[Department].[Department]" caption="Department" numFmtId="0" hierarchy="8"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Sick Leaves]" caption="Sum of Sick Leaves" numFmtId="0" hierarchy="41" level="32767"/>
    <cacheField name="[Measures].[Sum of Unpaid Leaves]" caption="Sum of Unpaid Leaves" numFmtId="0" hierarchy="42" level="32767"/>
    <cacheField name="[Measures].[Total Leaves]" caption="Total Leaves" numFmtId="0" hierarchy="31"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fieldsUsage count="2">
        <fieldUsage x="-1"/>
        <fieldUsage x="0"/>
      </fieldsUsage>
    </cacheHierarchy>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4"/>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oneField="1">
      <fieldsUsage count="1">
        <fieldUsage x="3"/>
      </fieldsUsage>
    </cacheHierarchy>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1898148" backgroundQuery="1" createdVersion="8" refreshedVersion="8" minRefreshableVersion="3" recordCount="0" supportSubquery="1" supportAdvancedDrill="1" xr:uid="{B03FF79A-8FC0-4D4D-94E7-396A05FC0C97}">
  <cacheSource type="external" connectionId="2"/>
  <cacheFields count="2">
    <cacheField name="[Measures].[Total Annual Salary]" caption="Total Annual Salary" numFmtId="0" hierarchy="27"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1"/>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oneField="1">
      <fieldsUsage count="1">
        <fieldUsage x="0"/>
      </fieldsUsage>
    </cacheHierarchy>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2245372" backgroundQuery="1" createdVersion="8" refreshedVersion="8" minRefreshableVersion="3" recordCount="0" supportSubquery="1" supportAdvancedDrill="1" xr:uid="{7AD4541D-CC28-4D36-B43C-10638145BBAA}">
  <cacheSource type="external" connectionId="2"/>
  <cacheFields count="3">
    <cacheField name="[Employees_Clean].[Department].[Department]" caption="Department" numFmtId="0" hierarchy="8" level="1">
      <sharedItems count="10">
        <s v="Environmental Compliance"/>
        <s v="Facilities/Engineering"/>
        <s v="Green Building"/>
        <s v="Human Resources"/>
        <s v="IT"/>
        <s v="Major Mfg Projects"/>
        <s v="Marketing"/>
        <s v="Quality Assurance"/>
        <s v="Research/Development"/>
        <s v="Training"/>
      </sharedItems>
    </cacheField>
    <cacheField name="[Measures].[Average of Annual Salary]" caption="Average of Annual Salary" numFmtId="0" hierarchy="45"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fieldsUsage count="2">
        <fieldUsage x="-1"/>
        <fieldUsage x="0"/>
      </fieldsUsage>
    </cacheHierarchy>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2245372" backgroundQuery="1" createdVersion="8" refreshedVersion="8" minRefreshableVersion="3" recordCount="0" supportSubquery="1" supportAdvancedDrill="1" xr:uid="{CEB4AD04-E171-4EAD-A2B3-5E12E0063ECB}">
  <cacheSource type="external" connectionId="2"/>
  <cacheFields count="2">
    <cacheField name="[Measures].[Average Monthly Salary]" caption="Average Monthly Salary" numFmtId="0" hierarchy="28"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1"/>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oneField="1">
      <fieldsUsage count="1">
        <fieldUsage x="0"/>
      </fieldsUsage>
    </cacheHierarchy>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2476849" backgroundQuery="1" createdVersion="8" refreshedVersion="8" minRefreshableVersion="3" recordCount="0" supportSubquery="1" supportAdvancedDrill="1" xr:uid="{6BDF316F-F323-4719-AEC4-04E3CA3ECFD6}">
  <cacheSource type="external" connectionId="2"/>
  <cacheFields count="2">
    <cacheField name="[Measures].[Average Job Rate]" caption="Average Job Rate" numFmtId="0" hierarchy="29"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1"/>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oneField="1">
      <fieldsUsage count="1">
        <fieldUsage x="0"/>
      </fieldsUsage>
    </cacheHierarchy>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2476849" backgroundQuery="1" createdVersion="8" refreshedVersion="8" minRefreshableVersion="3" recordCount="0" supportSubquery="1" supportAdvancedDrill="1" xr:uid="{75FDC623-F497-4645-8FA7-1D7D978F6D5C}">
  <cacheSource type="external" connectionId="2"/>
  <cacheFields count="2">
    <cacheField name="[Measures].[Total Overtime Hours]" caption="Total Overtime Hours" numFmtId="0" hierarchy="30"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1"/>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oneField="1">
      <fieldsUsage count="1">
        <fieldUsage x="0"/>
      </fieldsUsage>
    </cacheHierarchy>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2476849" backgroundQuery="1" createdVersion="8" refreshedVersion="8" minRefreshableVersion="3" recordCount="0" supportSubquery="1" supportAdvancedDrill="1" xr:uid="{7BB0F616-EF38-41BC-9A67-6C1D1CCF9A60}">
  <cacheSource type="external" connectionId="2"/>
  <cacheFields count="2">
    <cacheField name="[Measures].[Total Leaves]" caption="Total Leaves" numFmtId="0" hierarchy="31"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1"/>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oneField="1">
      <fieldsUsage count="1">
        <fieldUsage x="0"/>
      </fieldsUsage>
    </cacheHierarchy>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2592595" backgroundQuery="1" createdVersion="8" refreshedVersion="8" minRefreshableVersion="3" recordCount="0" supportSubquery="1" supportAdvancedDrill="1" xr:uid="{43F5031F-68FD-4868-B179-1E486A7AF283}">
  <cacheSource type="external" connectionId="2"/>
  <cacheFields count="2">
    <cacheField name="[Measures].[Average Experience]" caption="Average Experience" numFmtId="0" hierarchy="32"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1"/>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oneField="1">
      <fieldsUsage count="1">
        <fieldUsage x="0"/>
      </fieldsUsage>
    </cacheHierarchy>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2939818" backgroundQuery="1" createdVersion="8" refreshedVersion="8" minRefreshableVersion="3" recordCount="0" supportSubquery="1" supportAdvancedDrill="1" xr:uid="{6A3A7EBE-979A-4831-AA62-8B0826B38AC0}">
  <cacheSource type="external" connectionId="2"/>
  <cacheFields count="6">
    <cacheField name="[Employees_Clean].[Department].[Department]" caption="Department" numFmtId="0" hierarchy="8"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Employees]" caption="Total Employees" numFmtId="0" hierarchy="26" level="32767"/>
    <cacheField name="[Measures].[Average Monthly Salary]" caption="Average Monthly Salary" numFmtId="0" hierarchy="28" level="32767"/>
    <cacheField name="[Measures].[Average Job Rate]" caption="Average Job Rate" numFmtId="0" hierarchy="29" level="32767"/>
    <cacheField name="[Measures].[Average of Overtime Hours]" caption="Average of Overtime Hours" numFmtId="0" hierarchy="39"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fieldsUsage count="2">
        <fieldUsage x="-1"/>
        <fieldUsage x="0"/>
      </fieldsUsage>
    </cacheHierarchy>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5"/>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oneField="1">
      <fieldsUsage count="1">
        <fieldUsage x="2"/>
      </fieldsUsage>
    </cacheHierarchy>
    <cacheHierarchy uniqueName="[Measures].[Average Job Rate]" caption="Average Job Rate" measure="1" displayFolder="" measureGroup="Employees_Clean" count="0" oneField="1">
      <fieldsUsage count="1">
        <fieldUsage x="3"/>
      </fieldsUsage>
    </cacheHierarchy>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oneField="1" hidden="1">
      <fieldsUsage count="1">
        <fieldUsage x="4"/>
      </fieldsUsage>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7.063752893519" backgroundQuery="1" createdVersion="3" refreshedVersion="8" minRefreshableVersion="3" recordCount="0" supportSubquery="1" supportAdvancedDrill="1" xr:uid="{C8B342D1-8FFF-49D1-82E3-58CF0512A56A}">
  <cacheSource type="external" connectionId="2">
    <extLst>
      <ext xmlns:x14="http://schemas.microsoft.com/office/spreadsheetml/2009/9/main" uri="{F057638F-6D5F-4e77-A914-E7F072B9BCA8}">
        <x14:sourceConnection name="ThisWorkbookDataModel"/>
      </ext>
    </extLst>
  </cacheSource>
  <cacheFields count="0"/>
  <cacheHierarchies count="48">
    <cacheHierarchy uniqueName="[Employees_Clean].[No]" caption="No" attribute="1" defaultMemberUniqueName="[Employees_Clean].[No].[All]" allUniqueName="[Employees_Clean].[No].[All]" dimensionUniqueName="[Employees_Clean]" displayFolder="" count="2" memberValueDatatype="20" unbalanced="0"/>
    <cacheHierarchy uniqueName="[Employees_Clean].[First Name]" caption="First Name" attribute="1" defaultMemberUniqueName="[Employees_Clean].[First Name].[All]" allUniqueName="[Employees_Clean].[First Name].[All]" dimensionUniqueName="[Employees_Clean]" displayFolder="" count="2" memberValueDatatype="130" unbalanced="0"/>
    <cacheHierarchy uniqueName="[Employees_Clean].[Last Name]" caption="Last Name" attribute="1" defaultMemberUniqueName="[Employees_Clean].[Last Name].[All]" allUniqueName="[Employees_Clean].[Last Name].[All]" dimensionUniqueName="[Employees_Clean]" displayFolder="" count="2" memberValueDatatype="130" unbalanced="0"/>
    <cacheHierarchy uniqueName="[Employees_Clean].[Full Name]" caption="Full Name" attribute="1" defaultMemberUniqueName="[Employees_Clean].[Full Name].[All]" allUniqueName="[Employees_Clean].[Full Name].[All]" dimensionUniqueName="[Employees_Clean]" displayFolder="" count="2"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2" memberValueDatatype="7" unbalanced="0"/>
    <cacheHierarchy uniqueName="[Employees_Clean].[Years]" caption="Years" attribute="1" defaultMemberUniqueName="[Employees_Clean].[Years].[All]" allUniqueName="[Employees_Clean].[Years].[All]" dimensionUniqueName="[Employees_Clean]" displayFolder="" count="2"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2"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2"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cacheHierarchy uniqueName="[Employees_Clean].[Annual Salary]" caption="Annual Salary" attribute="1" defaultMemberUniqueName="[Employees_Clean].[Annual Salary].[All]" allUniqueName="[Employees_Clean].[Annual Salary].[All]" dimensionUniqueName="[Employees_Clean]" displayFolder="" count="2"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2" memberValueDatatype="5" unbalanced="0"/>
    <cacheHierarchy uniqueName="[Employees_Clean].[Job Rate]" caption="Job Rate" attribute="1" defaultMemberUniqueName="[Employees_Clean].[Job Rate].[All]" allUniqueName="[Employees_Clean].[Job Rate].[All]" dimensionUniqueName="[Employees_Clean]" displayFolder="" count="2"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2" memberValueDatatype="20" unbalanced="0"/>
    <cacheHierarchy uniqueName="[Employees_Clean].[Unpaid Leaves]" caption="Unpaid Leaves" attribute="1" defaultMemberUniqueName="[Employees_Clean].[Unpaid Leaves].[All]" allUniqueName="[Employees_Clean].[Unpaid Leaves].[All]" dimensionUniqueName="[Employees_Clean]" displayFolder="" count="2" memberValueDatatype="20" unbalanced="0"/>
    <cacheHierarchy uniqueName="[Employees_Clean].[Leave Category]" caption="Leave Category" attribute="1" defaultMemberUniqueName="[Employees_Clean].[Leave Category].[All]" allUniqueName="[Employees_Clean].[Leave Category].[All]" dimensionUniqueName="[Employees_Clean]" displayFolder="" count="2"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2"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2"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2"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slicerData="1" pivotCacheId="1012364842"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3750003" backgroundQuery="1" createdVersion="8" refreshedVersion="8" minRefreshableVersion="3" recordCount="0" supportSubquery="1" supportAdvancedDrill="1" xr:uid="{DEED80BE-D6BC-433F-AB77-1FC085D03C58}">
  <cacheSource type="external" connectionId="2">
    <extLst>
      <ext xmlns:x14="http://schemas.microsoft.com/office/spreadsheetml/2009/9/main" uri="{F057638F-6D5F-4e77-A914-E7F072B9BCA8}">
        <x14:sourceConnection name="ThisWorkbookDataModel"/>
      </ext>
    </extLst>
  </cacheSource>
  <cacheFields count="3">
    <cacheField name="[Employees_Clean].[Department].[Department]" caption="Department" numFmtId="0" hierarchy="8"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Employees]" caption="Total Employees" numFmtId="0" hierarchy="26"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fieldsUsage count="2">
        <fieldUsage x="-1"/>
        <fieldUsage x="0"/>
      </fieldsUsage>
    </cacheHierarchy>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7409972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4097219" backgroundQuery="1" createdVersion="8" refreshedVersion="8" minRefreshableVersion="3" recordCount="0" supportSubquery="1" supportAdvancedDrill="1" xr:uid="{47E250FD-BA18-4BA1-9708-7AF6F58585D8}">
  <cacheSource type="external" connectionId="2">
    <extLst>
      <ext xmlns:x14="http://schemas.microsoft.com/office/spreadsheetml/2009/9/main" uri="{F057638F-6D5F-4e77-A914-E7F072B9BCA8}">
        <x14:sourceConnection name="ThisWorkbookDataModel"/>
      </ext>
    </extLst>
  </cacheSource>
  <cacheFields count="3">
    <cacheField name="[Employees_Clean].[Experience Group].[Experience Group]" caption="Experience Group" numFmtId="0" hierarchy="7" level="1">
      <sharedItems count="3">
        <s v="5-6 Years"/>
        <s v="7-8 Years"/>
        <s v="9-10 Years"/>
      </sharedItems>
    </cacheField>
    <cacheField name="[Measures].[Total Employees]" caption="Total Employees" numFmtId="0" hierarchy="26"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fieldsUsage count="2">
        <fieldUsage x="-1"/>
        <fieldUsage x="0"/>
      </fieldsUsage>
    </cacheHierarchy>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19593849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4444442" backgroundQuery="1" createdVersion="8" refreshedVersion="8" minRefreshableVersion="3" recordCount="0" supportSubquery="1" supportAdvancedDrill="1" xr:uid="{C49E9193-239C-446D-A81C-23F1D9DD5CA2}">
  <cacheSource type="external" connectionId="2">
    <extLst>
      <ext xmlns:x14="http://schemas.microsoft.com/office/spreadsheetml/2009/9/main" uri="{F057638F-6D5F-4e77-A914-E7F072B9BCA8}">
        <x14:sourceConnection name="ThisWorkbookDataModel"/>
      </ext>
    </extLst>
  </cacheSource>
  <cacheFields count="4">
    <cacheField name="[Employees_Clean].[Experience Group].[Experience Group]" caption="Experience Group" numFmtId="0" hierarchy="7" level="1">
      <sharedItems count="3">
        <s v="5-6 Years"/>
        <s v="7-8 Years"/>
        <s v="9-10 Years"/>
      </sharedItems>
    </cacheField>
    <cacheField name="[Measures].[Average Job Rate]" caption="Average Job Rate" numFmtId="0" hierarchy="29" level="32767"/>
    <cacheField name="[Measures].[Average Monthly Salary]" caption="Average Monthly Salary" numFmtId="0" hierarchy="28"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fieldsUsage count="2">
        <fieldUsage x="-1"/>
        <fieldUsage x="0"/>
      </fieldsUsage>
    </cacheHierarchy>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3"/>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oneField="1">
      <fieldsUsage count="1">
        <fieldUsage x="2"/>
      </fieldsUsage>
    </cacheHierarchy>
    <cacheHierarchy uniqueName="[Measures].[Average Job Rate]" caption="Average Job Rate" measure="1" displayFolder="" measureGroup="Employees_Clean" count="0" oneField="1">
      <fieldsUsage count="1">
        <fieldUsage x="1"/>
      </fieldsUsage>
    </cacheHierarchy>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774711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4791666" backgroundQuery="1" createdVersion="8" refreshedVersion="8" minRefreshableVersion="3" recordCount="0" supportSubquery="1" supportAdvancedDrill="1" xr:uid="{1E5F8F8F-7B55-468C-965E-C95F4C08B21B}">
  <cacheSource type="external" connectionId="2">
    <extLst>
      <ext xmlns:x14="http://schemas.microsoft.com/office/spreadsheetml/2009/9/main" uri="{F057638F-6D5F-4e77-A914-E7F072B9BCA8}">
        <x14:sourceConnection name="ThisWorkbookDataModel"/>
      </ext>
    </extLst>
  </cacheSource>
  <cacheFields count="3">
    <cacheField name="[Employees_Clean].[Overtime Category].[Overtime Category]" caption="Overtime Category" numFmtId="0" hierarchy="21" level="1">
      <sharedItems count="3">
        <s v="High Overtime"/>
        <s v="No Overtime"/>
        <s v="Normal"/>
      </sharedItems>
    </cacheField>
    <cacheField name="[Measures].[Total Employees]" caption="Total Employees" numFmtId="0" hierarchy="26"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2" memberValueDatatype="20" unbalanced="0"/>
    <cacheHierarchy uniqueName="[Employees_Clean].[First Name]" caption="First Name" attribute="1" defaultMemberUniqueName="[Employees_Clean].[First Name].[All]" allUniqueName="[Employees_Clean].[First Name].[All]" dimensionUniqueName="[Employees_Clean]" displayFolder="" count="2" memberValueDatatype="130" unbalanced="0"/>
    <cacheHierarchy uniqueName="[Employees_Clean].[Last Name]" caption="Last Name" attribute="1" defaultMemberUniqueName="[Employees_Clean].[Last Name].[All]" allUniqueName="[Employees_Clean].[Last Name].[All]" dimensionUniqueName="[Employees_Clean]" displayFolder="" count="2" memberValueDatatype="130" unbalanced="0"/>
    <cacheHierarchy uniqueName="[Employees_Clean].[Full Name]" caption="Full Name" attribute="1" defaultMemberUniqueName="[Employees_Clean].[Full Name].[All]" allUniqueName="[Employees_Clean].[Full Name].[All]" dimensionUniqueName="[Employees_Clean]" displayFolder="" count="2"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2" memberValueDatatype="7" unbalanced="0"/>
    <cacheHierarchy uniqueName="[Employees_Clean].[Years]" caption="Years" attribute="1" defaultMemberUniqueName="[Employees_Clean].[Years].[All]" allUniqueName="[Employees_Clean].[Years].[All]" dimensionUniqueName="[Employees_Clean]" displayFolder="" count="2"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2"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2"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2"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2" memberValueDatatype="5" unbalanced="0"/>
    <cacheHierarchy uniqueName="[Employees_Clean].[Job Rate]" caption="Job Rate" attribute="1" defaultMemberUniqueName="[Employees_Clean].[Job Rate].[All]" allUniqueName="[Employees_Clean].[Job Rate].[All]" dimensionUniqueName="[Employees_Clean]" displayFolder="" count="2"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2" memberValueDatatype="20" unbalanced="0"/>
    <cacheHierarchy uniqueName="[Employees_Clean].[Unpaid Leaves]" caption="Unpaid Leaves" attribute="1" defaultMemberUniqueName="[Employees_Clean].[Unpaid Leaves].[All]" allUniqueName="[Employees_Clean].[Unpaid Leaves].[All]" dimensionUniqueName="[Employees_Clean]" displayFolder="" count="2" memberValueDatatype="20" unbalanced="0"/>
    <cacheHierarchy uniqueName="[Employees_Clean].[Leave Category]" caption="Leave Category" attribute="1" defaultMemberUniqueName="[Employees_Clean].[Leave Category].[All]" allUniqueName="[Employees_Clean].[Leave Category].[All]" dimensionUniqueName="[Employees_Clean]" displayFolder="" count="2"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2"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fieldsUsage count="2">
        <fieldUsage x="-1"/>
        <fieldUsage x="0"/>
      </fieldsUsage>
    </cacheHierarchy>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2"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2"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2"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7700428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5138889" backgroundQuery="1" createdVersion="8" refreshedVersion="8" minRefreshableVersion="3" recordCount="0" supportSubquery="1" supportAdvancedDrill="1" xr:uid="{22D2FFEA-0474-4630-98F4-5967CEFC067B}">
  <cacheSource type="external" connectionId="2">
    <extLst>
      <ext xmlns:x14="http://schemas.microsoft.com/office/spreadsheetml/2009/9/main" uri="{F057638F-6D5F-4e77-A914-E7F072B9BCA8}">
        <x14:sourceConnection name="ThisWorkbookDataModel"/>
      </ext>
    </extLst>
  </cacheSource>
  <cacheFields count="3">
    <cacheField name="[Employees_Clean].[Job Rate Category].[Job Rate Category]" caption="Job Rate Category" numFmtId="0" hierarchy="16" level="1">
      <sharedItems count="3">
        <s v="High"/>
        <s v="Low"/>
        <s v="Medium"/>
      </sharedItems>
    </cacheField>
    <cacheField name="[Measures].[Total Overtime Hours]" caption="Total Overtime Hours" numFmtId="0" hierarchy="30"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fieldsUsage count="2">
        <fieldUsage x="-1"/>
        <fieldUsage x="0"/>
      </fieldsUsage>
    </cacheHierarchy>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oneField="1">
      <fieldsUsage count="1">
        <fieldUsage x="1"/>
      </fieldsUsage>
    </cacheHierarchy>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19310585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5601851" backgroundQuery="1" createdVersion="8" refreshedVersion="8" minRefreshableVersion="3" recordCount="0" supportSubquery="1" supportAdvancedDrill="1" xr:uid="{EDC7636A-76A4-46C9-8A45-5C4C96E6E3B7}">
  <cacheSource type="external" connectionId="2">
    <extLst>
      <ext xmlns:x14="http://schemas.microsoft.com/office/spreadsheetml/2009/9/main" uri="{F057638F-6D5F-4e77-A914-E7F072B9BCA8}">
        <x14:sourceConnection name="ThisWorkbookDataModel"/>
      </ext>
    </extLst>
  </cacheSource>
  <cacheFields count="3">
    <cacheField name="[Employees_Clean].[Department].[Department]" caption="Department" numFmtId="0" hierarchy="8"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Job Rate]" caption="Average Job Rate" numFmtId="0" hierarchy="29"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fieldsUsage count="2">
        <fieldUsage x="-1"/>
        <fieldUsage x="0"/>
      </fieldsUsage>
    </cacheHierarchy>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oneField="1">
      <fieldsUsage count="1">
        <fieldUsage x="1"/>
      </fieldsUsage>
    </cacheHierarchy>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2940728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5949074" backgroundQuery="1" createdVersion="8" refreshedVersion="8" minRefreshableVersion="3" recordCount="0" supportSubquery="1" supportAdvancedDrill="1" xr:uid="{DC5BB2E7-61A1-4D96-B9AE-B9D423D0D1DE}">
  <cacheSource type="external" connectionId="2">
    <extLst>
      <ext xmlns:x14="http://schemas.microsoft.com/office/spreadsheetml/2009/9/main" uri="{F057638F-6D5F-4e77-A914-E7F072B9BCA8}">
        <x14:sourceConnection name="ThisWorkbookDataModel"/>
      </ext>
    </extLst>
  </cacheSource>
  <cacheFields count="2">
    <cacheField name="[Employees_Clean].[Salary Classification].[Salary Classification]" caption="Salary Classification" numFmtId="0" hierarchy="12" level="1">
      <sharedItems count="3">
        <s v="High"/>
        <s v="Low"/>
        <s v="Medium"/>
      </sharedItems>
    </cacheField>
    <cacheField name="[Measures].[Total Employees]" caption="Total Employees" numFmtId="0" hierarchy="26" level="32767"/>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0"/>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214144412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6296297" backgroundQuery="1" createdVersion="8" refreshedVersion="8" minRefreshableVersion="3" recordCount="0" supportSubquery="1" supportAdvancedDrill="1" xr:uid="{82B9513E-B086-4262-A31C-ADCBB5C47066}">
  <cacheSource type="external" connectionId="2">
    <extLst>
      <ext xmlns:x14="http://schemas.microsoft.com/office/spreadsheetml/2009/9/main" uri="{F057638F-6D5F-4e77-A914-E7F072B9BCA8}">
        <x14:sourceConnection name="ThisWorkbookDataModel"/>
      </ext>
    </extLst>
  </cacheSource>
  <cacheFields count="3">
    <cacheField name="[Employees_Clean].[Department].[Department]" caption="Department" numFmtId="0" hierarchy="8"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Leaves]" caption="Total Leaves" numFmtId="0" hierarchy="31"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fieldsUsage count="2">
        <fieldUsage x="-1"/>
        <fieldUsage x="0"/>
      </fieldsUsage>
    </cacheHierarchy>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oneField="1">
      <fieldsUsage count="1">
        <fieldUsage x="1"/>
      </fieldsUsage>
    </cacheHierarchy>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2086896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6643521" backgroundQuery="1" createdVersion="8" refreshedVersion="8" minRefreshableVersion="3" recordCount="0" supportSubquery="1" supportAdvancedDrill="1" xr:uid="{66587AD1-7F14-4DDC-9005-40BB78DF9EE8}">
  <cacheSource type="external" connectionId="2">
    <extLst>
      <ext xmlns:x14="http://schemas.microsoft.com/office/spreadsheetml/2009/9/main" uri="{F057638F-6D5F-4e77-A914-E7F072B9BCA8}">
        <x14:sourceConnection name="ThisWorkbookDataModel"/>
      </ext>
    </extLst>
  </cacheSource>
  <cacheFields count="3">
    <cacheField name="[Employees_Clean].[Department].[Department]" caption="Department" numFmtId="0" hierarchy="8"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of Overtime Hours]" caption="Average of Overtime Hours" numFmtId="0" hierarchy="39"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fieldsUsage count="2">
        <fieldUsage x="-1"/>
        <fieldUsage x="0"/>
      </fieldsUsage>
    </cacheHierarchy>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10884261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6990744" backgroundQuery="1" createdVersion="8" refreshedVersion="8" minRefreshableVersion="3" recordCount="0" supportSubquery="1" supportAdvancedDrill="1" xr:uid="{D44CB4B1-D6C6-418D-9932-8100744C4D6D}">
  <cacheSource type="external" connectionId="2">
    <extLst>
      <ext xmlns:x14="http://schemas.microsoft.com/office/spreadsheetml/2009/9/main" uri="{F057638F-6D5F-4e77-A914-E7F072B9BCA8}">
        <x14:sourceConnection name="ThisWorkbookDataModel"/>
      </ext>
    </extLst>
  </cacheSource>
  <cacheFields count="3">
    <cacheField name="[Employees_Clean].[Experience Group].[Experience Group]" caption="Experience Group" numFmtId="0" hierarchy="7" level="1">
      <sharedItems count="3">
        <s v="5-6 Years"/>
        <s v="7-8 Years"/>
        <s v="9-10 Years"/>
      </sharedItems>
    </cacheField>
    <cacheField name="[Measures].[Total Employees]" caption="Total Employees" numFmtId="0" hierarchy="26"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fieldsUsage count="2">
        <fieldUsage x="-1"/>
        <fieldUsage x="0"/>
      </fieldsUsage>
    </cacheHierarchy>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7812875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7453706" backgroundQuery="1" createdVersion="8" refreshedVersion="8" minRefreshableVersion="3" recordCount="0" supportSubquery="1" supportAdvancedDrill="1" xr:uid="{C8385272-558D-419F-955E-99887C677E2E}">
  <cacheSource type="external" connectionId="2">
    <extLst>
      <ext xmlns:x14="http://schemas.microsoft.com/office/spreadsheetml/2009/9/main" uri="{F057638F-6D5F-4e77-A914-E7F072B9BCA8}">
        <x14:sourceConnection name="ThisWorkbookDataModel"/>
      </ext>
    </extLst>
  </cacheSource>
  <cacheFields count="3">
    <cacheField name="[Employees_Clean].[Department].[Department]" caption="Department" numFmtId="0" hierarchy="8"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Employees]" caption="Total Employees" numFmtId="0" hierarchy="26"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fieldsUsage count="2">
        <fieldUsage x="-1"/>
        <fieldUsage x="0"/>
      </fieldsUsage>
    </cacheHierarchy>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11358370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7800929" backgroundQuery="1" createdVersion="8" refreshedVersion="8" minRefreshableVersion="3" recordCount="0" supportSubquery="1" supportAdvancedDrill="1" xr:uid="{0278140C-FACD-44FB-A49F-9886DB92BEA5}">
  <cacheSource type="external" connectionId="2">
    <extLst>
      <ext xmlns:x14="http://schemas.microsoft.com/office/spreadsheetml/2009/9/main" uri="{F057638F-6D5F-4e77-A914-E7F072B9BCA8}">
        <x14:sourceConnection name="ThisWorkbookDataModel"/>
      </ext>
    </extLst>
  </cacheSource>
  <cacheFields count="3">
    <cacheField name="[Employees_Clean].[Department].[Department]" caption="Department" numFmtId="0" hierarchy="8"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Job Rate]" caption="Average Job Rate" numFmtId="0" hierarchy="29"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fieldsUsage count="2">
        <fieldUsage x="-1"/>
        <fieldUsage x="0"/>
      </fieldsUsage>
    </cacheHierarchy>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oneField="1">
      <fieldsUsage count="1">
        <fieldUsage x="1"/>
      </fieldsUsage>
    </cacheHierarchy>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9492349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8148145" backgroundQuery="1" createdVersion="8" refreshedVersion="8" minRefreshableVersion="3" recordCount="0" supportSubquery="1" supportAdvancedDrill="1" xr:uid="{345FAF23-700C-4EE2-A78A-FCEE91C4B86F}">
  <cacheSource type="external" connectionId="2">
    <extLst>
      <ext xmlns:x14="http://schemas.microsoft.com/office/spreadsheetml/2009/9/main" uri="{F057638F-6D5F-4e77-A914-E7F072B9BCA8}">
        <x14:sourceConnection name="ThisWorkbookDataModel"/>
      </ext>
    </extLst>
  </cacheSource>
  <cacheFields count="3">
    <cacheField name="[Employees_Clean].[Department].[Department]" caption="Department" numFmtId="0" hierarchy="8"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of Overtime Hours]" caption="Average of Overtime Hours" numFmtId="0" hierarchy="39"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fieldsUsage count="2">
        <fieldUsage x="-1"/>
        <fieldUsage x="0"/>
      </fieldsUsage>
    </cacheHierarchy>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1820935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8495368" backgroundQuery="1" createdVersion="8" refreshedVersion="8" minRefreshableVersion="3" recordCount="0" supportSubquery="1" supportAdvancedDrill="1" xr:uid="{16E8295A-366D-43C9-AC2A-B0B41A8FECE2}">
  <cacheSource type="external" connectionId="2">
    <extLst>
      <ext xmlns:x14="http://schemas.microsoft.com/office/spreadsheetml/2009/9/main" uri="{F057638F-6D5F-4e77-A914-E7F072B9BCA8}">
        <x14:sourceConnection name="ThisWorkbookDataModel"/>
      </ext>
    </extLst>
  </cacheSource>
  <cacheFields count="3">
    <cacheField name="[Employees_Clean].[Department].[Department]" caption="Department" numFmtId="0" hierarchy="8"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Leaves]" caption="Total Leaves" numFmtId="0" hierarchy="31"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fieldsUsage count="2">
        <fieldUsage x="-1"/>
        <fieldUsage x="0"/>
      </fieldsUsage>
    </cacheHierarchy>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oneField="1">
      <fieldsUsage count="1">
        <fieldUsage x="1"/>
      </fieldsUsage>
    </cacheHierarchy>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11578866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9074076" backgroundQuery="1" createdVersion="8" refreshedVersion="8" minRefreshableVersion="3" recordCount="0" supportSubquery="1" supportAdvancedDrill="1" xr:uid="{CFDE8678-4C2C-4CAD-BA16-C3170AFB339B}">
  <cacheSource type="external" connectionId="2">
    <extLst>
      <ext xmlns:x14="http://schemas.microsoft.com/office/spreadsheetml/2009/9/main" uri="{F057638F-6D5F-4e77-A914-E7F072B9BCA8}">
        <x14:sourceConnection name="ThisWorkbookDataModel"/>
      </ext>
    </extLst>
  </cacheSource>
  <cacheFields count="2">
    <cacheField name="[Employees_Clean].[Salary Classification].[Salary Classification]" caption="Salary Classification" numFmtId="0" hierarchy="12" level="1">
      <sharedItems count="3">
        <s v="High"/>
        <s v="Low"/>
        <s v="Medium"/>
      </sharedItems>
    </cacheField>
    <cacheField name="[Measures].[Total Employees]" caption="Total Employees" numFmtId="0" hierarchy="26" level="32767"/>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0"/>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4182485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9421299" backgroundQuery="1" createdVersion="8" refreshedVersion="8" minRefreshableVersion="3" recordCount="0" supportSubquery="1" supportAdvancedDrill="1" xr:uid="{5B9658A2-EDBA-460C-A70A-83DA714B19D2}">
  <cacheSource type="external" connectionId="2">
    <extLst>
      <ext xmlns:x14="http://schemas.microsoft.com/office/spreadsheetml/2009/9/main" uri="{F057638F-6D5F-4e77-A914-E7F072B9BCA8}">
        <x14:sourceConnection name="ThisWorkbookDataModel"/>
      </ext>
    </extLst>
  </cacheSource>
  <cacheFields count="3">
    <cacheField name="[Employees_Clean].[Overtime Category].[Overtime Category]" caption="Overtime Category" numFmtId="0" hierarchy="21" level="1">
      <sharedItems count="3">
        <s v="High Overtime"/>
        <s v="No Overtime"/>
        <s v="Normal"/>
      </sharedItems>
    </cacheField>
    <cacheField name="[Measures].[Total Employees]" caption="Total Employees" numFmtId="0" hierarchy="26"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2" memberValueDatatype="20" unbalanced="0"/>
    <cacheHierarchy uniqueName="[Employees_Clean].[First Name]" caption="First Name" attribute="1" defaultMemberUniqueName="[Employees_Clean].[First Name].[All]" allUniqueName="[Employees_Clean].[First Name].[All]" dimensionUniqueName="[Employees_Clean]" displayFolder="" count="2" memberValueDatatype="130" unbalanced="0"/>
    <cacheHierarchy uniqueName="[Employees_Clean].[Last Name]" caption="Last Name" attribute="1" defaultMemberUniqueName="[Employees_Clean].[Last Name].[All]" allUniqueName="[Employees_Clean].[Last Name].[All]" dimensionUniqueName="[Employees_Clean]" displayFolder="" count="2" memberValueDatatype="130" unbalanced="0"/>
    <cacheHierarchy uniqueName="[Employees_Clean].[Full Name]" caption="Full Name" attribute="1" defaultMemberUniqueName="[Employees_Clean].[Full Name].[All]" allUniqueName="[Employees_Clean].[Full Name].[All]" dimensionUniqueName="[Employees_Clean]" displayFolder="" count="2"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2" memberValueDatatype="7" unbalanced="0"/>
    <cacheHierarchy uniqueName="[Employees_Clean].[Years]" caption="Years" attribute="1" defaultMemberUniqueName="[Employees_Clean].[Years].[All]" allUniqueName="[Employees_Clean].[Years].[All]" dimensionUniqueName="[Employees_Clean]" displayFolder="" count="2"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2"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2"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2"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2" memberValueDatatype="5" unbalanced="0"/>
    <cacheHierarchy uniqueName="[Employees_Clean].[Job Rate]" caption="Job Rate" attribute="1" defaultMemberUniqueName="[Employees_Clean].[Job Rate].[All]" allUniqueName="[Employees_Clean].[Job Rate].[All]" dimensionUniqueName="[Employees_Clean]" displayFolder="" count="2"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2" memberValueDatatype="20" unbalanced="0"/>
    <cacheHierarchy uniqueName="[Employees_Clean].[Unpaid Leaves]" caption="Unpaid Leaves" attribute="1" defaultMemberUniqueName="[Employees_Clean].[Unpaid Leaves].[All]" allUniqueName="[Employees_Clean].[Unpaid Leaves].[All]" dimensionUniqueName="[Employees_Clean]" displayFolder="" count="2" memberValueDatatype="20" unbalanced="0"/>
    <cacheHierarchy uniqueName="[Employees_Clean].[Leave Category]" caption="Leave Category" attribute="1" defaultMemberUniqueName="[Employees_Clean].[Leave Category].[All]" allUniqueName="[Employees_Clean].[Leave Category].[All]" dimensionUniqueName="[Employees_Clean]" displayFolder="" count="2"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2"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fieldsUsage count="2">
        <fieldUsage x="-1"/>
        <fieldUsage x="0"/>
      </fieldsUsage>
    </cacheHierarchy>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2"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2"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2" memberValueDatatype="20" unbalanced="0" hidden="1"/>
    <cacheHierarchy uniqueName="[Measures].[Total Employees]" caption="Total Employees" measure="1" displayFolder="" measureGroup="Employees_Clean" count="0" oneField="1">
      <fieldsUsage count="1">
        <fieldUsage x="1"/>
      </fieldsUsage>
    </cacheHierarchy>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8763216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49768515" backgroundQuery="1" createdVersion="8" refreshedVersion="8" minRefreshableVersion="3" recordCount="0" supportSubquery="1" supportAdvancedDrill="1" xr:uid="{9ED84806-645F-468A-8D7D-0DAB13500FAC}">
  <cacheSource type="external" connectionId="2">
    <extLst>
      <ext xmlns:x14="http://schemas.microsoft.com/office/spreadsheetml/2009/9/main" uri="{F057638F-6D5F-4e77-A914-E7F072B9BCA8}">
        <x14:sourceConnection name="ThisWorkbookDataModel"/>
      </ext>
    </extLst>
  </cacheSource>
  <cacheFields count="4">
    <cacheField name="[Employees_Clean].[Experience Group].[Experience Group]" caption="Experience Group" numFmtId="0" hierarchy="7" level="1">
      <sharedItems count="3">
        <s v="5-6 Years"/>
        <s v="7-8 Years"/>
        <s v="9-10 Years"/>
      </sharedItems>
    </cacheField>
    <cacheField name="[Measures].[Average Job Rate]" caption="Average Job Rate" numFmtId="0" hierarchy="29" level="32767"/>
    <cacheField name="[Measures].[Average Monthly Salary]" caption="Average Monthly Salary" numFmtId="0" hierarchy="28"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fieldsUsage count="2">
        <fieldUsage x="-1"/>
        <fieldUsage x="0"/>
      </fieldsUsage>
    </cacheHierarchy>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3"/>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oneField="1">
      <fieldsUsage count="1">
        <fieldUsage x="2"/>
      </fieldsUsage>
    </cacheHierarchy>
    <cacheHierarchy uniqueName="[Measures].[Average Job Rate]" caption="Average Job Rate" measure="1" displayFolder="" measureGroup="Employees_Clean" count="0" oneField="1">
      <fieldsUsage count="1">
        <fieldUsage x="1"/>
      </fieldsUsage>
    </cacheHierarchy>
    <cacheHierarchy uniqueName="[Measures].[Total Overtime Hours]" caption="Total Overtime Hours" measure="1" displayFolder="" measureGroup="Employees_Clean" count="0"/>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16067427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268.985750115738" backgroundQuery="1" createdVersion="8" refreshedVersion="8" minRefreshableVersion="3" recordCount="0" supportSubquery="1" supportAdvancedDrill="1" xr:uid="{C755CA9A-EDC3-43D5-B415-FA480610B2CB}">
  <cacheSource type="external" connectionId="2">
    <extLst>
      <ext xmlns:x14="http://schemas.microsoft.com/office/spreadsheetml/2009/9/main" uri="{F057638F-6D5F-4e77-A914-E7F072B9BCA8}">
        <x14:sourceConnection name="ThisWorkbookDataModel"/>
      </ext>
    </extLst>
  </cacheSource>
  <cacheFields count="3">
    <cacheField name="[Employees_Clean].[Job Rate Category].[Job Rate Category]" caption="Job Rate Category" numFmtId="0" hierarchy="16" level="1">
      <sharedItems count="3">
        <s v="High"/>
        <s v="Low"/>
        <s v="Medium"/>
      </sharedItems>
    </cacheField>
    <cacheField name="[Measures].[Total Overtime Hours]" caption="Total Overtime Hours" numFmtId="0" hierarchy="30" level="32767"/>
    <cacheField name="[Employees_Clean].[Salary Classification].[Salary Classification]" caption="Salary Classification" numFmtId="0" hierarchy="12" level="1">
      <sharedItems containsSemiMixedTypes="0" containsNonDate="0" containsString="0"/>
    </cacheField>
  </cacheFields>
  <cacheHierarchies count="47">
    <cacheHierarchy uniqueName="[Employees_Clean].[No]" caption="No" attribute="1" defaultMemberUniqueName="[Employees_Clean].[No].[All]" allUniqueName="[Employees_Clean].[No].[All]" dimensionUniqueName="[Employees_Clean]" displayFolder="" count="0" memberValueDatatype="20" unbalanced="0"/>
    <cacheHierarchy uniqueName="[Employees_Clean].[First Name]" caption="First Name" attribute="1" defaultMemberUniqueName="[Employees_Clean].[First Name].[All]" allUniqueName="[Employees_Clean].[First Name].[All]" dimensionUniqueName="[Employees_Clean]" displayFolder="" count="0" memberValueDatatype="130" unbalanced="0"/>
    <cacheHierarchy uniqueName="[Employees_Clean].[Last Name]" caption="Last Name" attribute="1" defaultMemberUniqueName="[Employees_Clean].[Last Name].[All]" allUniqueName="[Employees_Clean].[Last Name].[All]" dimensionUniqueName="[Employees_Clean]" displayFolder="" count="0" memberValueDatatype="130" unbalanced="0"/>
    <cacheHierarchy uniqueName="[Employees_Clean].[Full Name]" caption="Full Name" attribute="1" defaultMemberUniqueName="[Employees_Clean].[Full Name].[All]" allUniqueName="[Employees_Clean].[Full Name].[All]" dimensionUniqueName="[Employees_Clean]" displayFolder="" count="0" memberValueDatatype="130" unbalanced="0"/>
    <cacheHierarchy uniqueName="[Employees_Clean].[Gender]" caption="Gender" attribute="1" defaultMemberUniqueName="[Employees_Clean].[Gender].[All]" allUniqueName="[Employees_Clean].[Gender].[All]" dimensionUniqueName="[Employees_Clean]" displayFolder="" count="2" memberValueDatatype="130" unbalanced="0"/>
    <cacheHierarchy uniqueName="[Employees_Clean].[Start Date]" caption="Start Date" attribute="1" time="1" defaultMemberUniqueName="[Employees_Clean].[Start Date].[All]" allUniqueName="[Employees_Clean].[Start Date].[All]" dimensionUniqueName="[Employees_Clean]" displayFolder="" count="0" memberValueDatatype="7" unbalanced="0"/>
    <cacheHierarchy uniqueName="[Employees_Clean].[Years]" caption="Years" attribute="1" defaultMemberUniqueName="[Employees_Clean].[Years].[All]" allUniqueName="[Employees_Clean].[Years].[All]" dimensionUniqueName="[Employees_Clean]" displayFolder="" count="0" memberValueDatatype="20" unbalanced="0"/>
    <cacheHierarchy uniqueName="[Employees_Clean].[Experience Group]" caption="Experience Group" attribute="1" defaultMemberUniqueName="[Employees_Clean].[Experience Group].[All]" allUniqueName="[Employees_Clean].[Experience Group].[All]" dimensionUniqueName="[Employees_Clean]" displayFolder="" count="2" memberValueDatatype="130" unbalanced="0"/>
    <cacheHierarchy uniqueName="[Employees_Clean].[Department]" caption="Department" attribute="1" defaultMemberUniqueName="[Employees_Clean].[Department].[All]" allUniqueName="[Employees_Clean].[Department].[All]" dimensionUniqueName="[Employees_Clean]" displayFolder="" count="2" memberValueDatatype="130" unbalanced="0"/>
    <cacheHierarchy uniqueName="[Employees_Clean].[Country]" caption="Country" attribute="1" defaultMemberUniqueName="[Employees_Clean].[Country].[All]" allUniqueName="[Employees_Clean].[Country].[All]" dimensionUniqueName="[Employees_Clean]" displayFolder="" count="2" memberValueDatatype="130" unbalanced="0"/>
    <cacheHierarchy uniqueName="[Employees_Clean].[Center]" caption="Center" attribute="1" defaultMemberUniqueName="[Employees_Clean].[Center].[All]" allUniqueName="[Employees_Clean].[Center].[All]" dimensionUniqueName="[Employees_Clean]" displayFolder="" count="0" memberValueDatatype="130" unbalanced="0"/>
    <cacheHierarchy uniqueName="[Employees_Clean].[Monthly Salary]" caption="Monthly Salary" attribute="1" defaultMemberUniqueName="[Employees_Clean].[Monthly Salary].[All]" allUniqueName="[Employees_Clean].[Monthly Salary].[All]" dimensionUniqueName="[Employees_Clean]" displayFolder="" count="0" memberValueDatatype="20" unbalanced="0"/>
    <cacheHierarchy uniqueName="[Employees_Clean].[Salary Classification]" caption="Salary Classification" attribute="1" defaultMemberUniqueName="[Employees_Clean].[Salary Classification].[All]" allUniqueName="[Employees_Clean].[Salary Classification].[All]" dimensionUniqueName="[Employees_Clean]" displayFolder="" count="2" memberValueDatatype="130" unbalanced="0">
      <fieldsUsage count="2">
        <fieldUsage x="-1"/>
        <fieldUsage x="2"/>
      </fieldsUsage>
    </cacheHierarchy>
    <cacheHierarchy uniqueName="[Employees_Clean].[Annual Salary]" caption="Annual Salary" attribute="1" defaultMemberUniqueName="[Employees_Clean].[Annual Salary].[All]" allUniqueName="[Employees_Clean].[Annual Salary].[All]" dimensionUniqueName="[Employees_Clean]" displayFolder="" count="0" memberValueDatatype="20" unbalanced="0"/>
    <cacheHierarchy uniqueName="[Employees_Clean].[Salary per Experience]" caption="Salary per Experience" attribute="1" defaultMemberUniqueName="[Employees_Clean].[Salary per Experience].[All]" allUniqueName="[Employees_Clean].[Salary per Experience].[All]" dimensionUniqueName="[Employees_Clean]" displayFolder="" count="0" memberValueDatatype="5" unbalanced="0"/>
    <cacheHierarchy uniqueName="[Employees_Clean].[Job Rate]" caption="Job Rate" attribute="1" defaultMemberUniqueName="[Employees_Clean].[Job Rate].[All]" allUniqueName="[Employees_Clean].[Job Rate].[All]" dimensionUniqueName="[Employees_Clean]" displayFolder="" count="0" memberValueDatatype="5" unbalanced="0"/>
    <cacheHierarchy uniqueName="[Employees_Clean].[Job Rate Category]" caption="Job Rate Category" attribute="1" defaultMemberUniqueName="[Employees_Clean].[Job Rate Category].[All]" allUniqueName="[Employees_Clean].[Job Rate Category].[All]" dimensionUniqueName="[Employees_Clean]" displayFolder="" count="2" memberValueDatatype="130" unbalanced="0">
      <fieldsUsage count="2">
        <fieldUsage x="-1"/>
        <fieldUsage x="0"/>
      </fieldsUsage>
    </cacheHierarchy>
    <cacheHierarchy uniqueName="[Employees_Clean].[Sick Leaves]" caption="Sick Leaves" attribute="1" defaultMemberUniqueName="[Employees_Clean].[Sick Leaves].[All]" allUniqueName="[Employees_Clean].[Sick Leaves].[All]" dimensionUniqueName="[Employees_Clean]" displayFolder="" count="0" memberValueDatatype="20" unbalanced="0"/>
    <cacheHierarchy uniqueName="[Employees_Clean].[Unpaid Leaves]" caption="Unpaid Leaves" attribute="1" defaultMemberUniqueName="[Employees_Clean].[Unpaid Leaves].[All]" allUniqueName="[Employees_Clean].[Unpaid Leaves].[All]" dimensionUniqueName="[Employees_Clean]" displayFolder="" count="0" memberValueDatatype="20" unbalanced="0"/>
    <cacheHierarchy uniqueName="[Employees_Clean].[Leave Category]" caption="Leave Category" attribute="1" defaultMemberUniqueName="[Employees_Clean].[Leave Category].[All]" allUniqueName="[Employees_Clean].[Leave Category].[All]" dimensionUniqueName="[Employees_Clean]" displayFolder="" count="0" memberValueDatatype="130" unbalanced="0"/>
    <cacheHierarchy uniqueName="[Employees_Clean].[Overtime Hours]" caption="Overtime Hours" attribute="1" defaultMemberUniqueName="[Employees_Clean].[Overtime Hours].[All]" allUniqueName="[Employees_Clean].[Overtime Hours].[All]" dimensionUniqueName="[Employees_Clean]" displayFolder="" count="0" memberValueDatatype="20" unbalanced="0"/>
    <cacheHierarchy uniqueName="[Employees_Clean].[Overtime Category]" caption="Overtime Category" attribute="1" defaultMemberUniqueName="[Employees_Clean].[Overtime Category].[All]" allUniqueName="[Employees_Clean].[Overtime Category].[All]" dimensionUniqueName="[Employees_Clean]" displayFolder="" count="2" memberValueDatatype="130" unbalanced="0"/>
    <cacheHierarchy uniqueName="[Employees_Clean].[Start Date (Year)]" caption="Start Date (Year)" attribute="1" defaultMemberUniqueName="[Employees_Clean].[Start Date (Year)].[All]" allUniqueName="[Employees_Clean].[Start Date (Year)].[All]" dimensionUniqueName="[Employees_Clean]" displayFolder="" count="2" memberValueDatatype="130" unbalanced="0"/>
    <cacheHierarchy uniqueName="[Employees_Clean].[Start Date (Quarter)]" caption="Start Date (Quarter)" attribute="1" defaultMemberUniqueName="[Employees_Clean].[Start Date (Quarter)].[All]" allUniqueName="[Employees_Clean].[Start Date (Quarter)].[All]" dimensionUniqueName="[Employees_Clean]" displayFolder="" count="0" memberValueDatatype="130" unbalanced="0"/>
    <cacheHierarchy uniqueName="[Employees_Clean].[Start Date (Month)]" caption="Start Date (Month)" attribute="1" defaultMemberUniqueName="[Employees_Clean].[Start Date (Month)].[All]" allUniqueName="[Employees_Clean].[Start Date (Month)].[All]" dimensionUniqueName="[Employees_Clean]" displayFolder="" count="0" memberValueDatatype="130" unbalanced="0"/>
    <cacheHierarchy uniqueName="[Employees_Clean].[Start Date (Month Index)]" caption="Start Date (Month Index)" attribute="1" defaultMemberUniqueName="[Employees_Clean].[Start Date (Month Index)].[All]" allUniqueName="[Employees_Clean].[Start Date (Month Index)].[All]" dimensionUniqueName="[Employees_Clean]" displayFolder="" count="0" memberValueDatatype="20" unbalanced="0" hidden="1"/>
    <cacheHierarchy uniqueName="[Measures].[Total Employees]" caption="Total Employees" measure="1" displayFolder="" measureGroup="Employees_Clean" count="0"/>
    <cacheHierarchy uniqueName="[Measures].[Total Annual Salary]" caption="Total Annual Salary" measure="1" displayFolder="" measureGroup="Employees_Clean" count="0"/>
    <cacheHierarchy uniqueName="[Measures].[Average Monthly Salary]" caption="Average Monthly Salary" measure="1" displayFolder="" measureGroup="Employees_Clean" count="0"/>
    <cacheHierarchy uniqueName="[Measures].[Average Job Rate]" caption="Average Job Rate" measure="1" displayFolder="" measureGroup="Employees_Clean" count="0"/>
    <cacheHierarchy uniqueName="[Measures].[Total Overtime Hours]" caption="Total Overtime Hours" measure="1" displayFolder="" measureGroup="Employees_Clean" count="0" oneField="1">
      <fieldsUsage count="1">
        <fieldUsage x="1"/>
      </fieldsUsage>
    </cacheHierarchy>
    <cacheHierarchy uniqueName="[Measures].[Total Leaves]" caption="Total Leaves" measure="1" displayFolder="" measureGroup="Employees_Clean" count="0"/>
    <cacheHierarchy uniqueName="[Measures].[Average Experience]" caption="Average Experience" measure="1" displayFolder="" measureGroup="Employees_Clean" count="0"/>
    <cacheHierarchy uniqueName="[Measures].[__XL_Count Employees_Clean]" caption="__XL_Count Employees_Clean" measure="1" displayFolder="" measureGroup="Employees_Clean" count="0" hidden="1"/>
    <cacheHierarchy uniqueName="[Measures].[__No measures defined]" caption="__No measures defined" measure="1" displayFolder="" count="0" hidden="1"/>
    <cacheHierarchy uniqueName="[Measures].[Sum of Monthly Salary]" caption="Sum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Employees_Clean" count="0" hidden="1">
      <extLst>
        <ext xmlns:x15="http://schemas.microsoft.com/office/spreadsheetml/2010/11/main" uri="{B97F6D7D-B522-45F9-BDA1-12C45D357490}">
          <x15:cacheHierarchy aggregatedColumn="11"/>
        </ext>
      </extLst>
    </cacheHierarchy>
    <cacheHierarchy uniqueName="[Measures].[Sum of No]" caption="Sum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Overtime Hours]" caption="Sum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Average of Overtime Hours]" caption="Average of Overtime Hours" measure="1" displayFolder="" measureGroup="Employees_Clean" count="0" hidden="1">
      <extLst>
        <ext xmlns:x15="http://schemas.microsoft.com/office/spreadsheetml/2010/11/main" uri="{B97F6D7D-B522-45F9-BDA1-12C45D357490}">
          <x15:cacheHierarchy aggregatedColumn="20"/>
        </ext>
      </extLst>
    </cacheHierarchy>
    <cacheHierarchy uniqueName="[Measures].[Count of No]" caption="Count of No" measure="1" displayFolder="" measureGroup="Employees_Clean" count="0" hidden="1">
      <extLst>
        <ext xmlns:x15="http://schemas.microsoft.com/office/spreadsheetml/2010/11/main" uri="{B97F6D7D-B522-45F9-BDA1-12C45D357490}">
          <x15:cacheHierarchy aggregatedColumn="0"/>
        </ext>
      </extLst>
    </cacheHierarchy>
    <cacheHierarchy uniqueName="[Measures].[Sum of Sick Leaves]" caption="Sum of Sick Leaves" measure="1" displayFolder="" measureGroup="Employees_Clean" count="0" hidden="1">
      <extLst>
        <ext xmlns:x15="http://schemas.microsoft.com/office/spreadsheetml/2010/11/main" uri="{B97F6D7D-B522-45F9-BDA1-12C45D357490}">
          <x15:cacheHierarchy aggregatedColumn="17"/>
        </ext>
      </extLst>
    </cacheHierarchy>
    <cacheHierarchy uniqueName="[Measures].[Sum of Unpaid Leaves]" caption="Sum of Unpaid Leaves" measure="1" displayFolder="" measureGroup="Employees_Clean" count="0" hidden="1">
      <extLst>
        <ext xmlns:x15="http://schemas.microsoft.com/office/spreadsheetml/2010/11/main" uri="{B97F6D7D-B522-45F9-BDA1-12C45D357490}">
          <x15:cacheHierarchy aggregatedColumn="18"/>
        </ext>
      </extLst>
    </cacheHierarchy>
    <cacheHierarchy uniqueName="[Measures].[Sum of Annual Salary]" caption="Sum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Count of Salary Classification]" caption="Count of Salary Classification" measure="1" displayFolder="" measureGroup="Employees_Clean"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loyees_Clean" count="0" hidden="1">
      <extLst>
        <ext xmlns:x15="http://schemas.microsoft.com/office/spreadsheetml/2010/11/main" uri="{B97F6D7D-B522-45F9-BDA1-12C45D357490}">
          <x15:cacheHierarchy aggregatedColumn="13"/>
        </ext>
      </extLst>
    </cacheHierarchy>
    <cacheHierarchy uniqueName="[Measures].[Sum of Years]" caption="Sum of Years" measure="1" displayFolder="" measureGroup="Employees_Clean" count="0" hidden="1">
      <extLst>
        <ext xmlns:x15="http://schemas.microsoft.com/office/spreadsheetml/2010/11/main" uri="{B97F6D7D-B522-45F9-BDA1-12C45D357490}">
          <x15:cacheHierarchy aggregatedColumn="6"/>
        </ext>
      </extLst>
    </cacheHierarchy>
  </cacheHierarchies>
  <kpis count="0"/>
  <dimensions count="2">
    <dimension name="Employees_Clean" uniqueName="[Employees_Clean]" caption="Employees_Clean"/>
    <dimension measure="1" name="Measures" uniqueName="[Measures]" caption="Measures"/>
  </dimensions>
  <measureGroups count="1">
    <measureGroup name="Employees_Clean" caption="Employees_Clean"/>
  </measureGroups>
  <maps count="1">
    <map measureGroup="0" dimension="0"/>
  </maps>
  <extLst>
    <ext xmlns:x14="http://schemas.microsoft.com/office/spreadsheetml/2009/9/main" uri="{725AE2AE-9491-48be-B2B4-4EB974FC3084}">
      <x14:pivotCacheDefinition pivotCacheId="767777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9BD0E0-538A-4B35-B0BD-31FCEC6D67DD}" name="PivotChartTable19" cacheId="9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3">
    <chartFormat chart="0"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4" columnCount="1" cacheId="76777730">
        <x15:pivotRow count="1">
          <x15:c>
            <x15:v>4594</x15:v>
            <x15:x in="0"/>
          </x15:c>
        </x15:pivotRow>
        <x15:pivotRow count="1">
          <x15:c>
            <x15:v>1886</x15:v>
            <x15:x in="0"/>
          </x15:c>
        </x15:pivotRow>
        <x15:pivotRow count="1">
          <x15:c>
            <x15:v>2961</x15:v>
            <x15:x in="0"/>
          </x15:c>
        </x15:pivotRow>
        <x15:pivotRow count="1">
          <x15:c>
            <x15:v>9441</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9A7E86-2E51-42CB-B31B-F7A1563FB1C0}" name="PivotChartTable18" cacheId="9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C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2" subtotal="count" baseField="0" baseItem="0"/>
    <dataField fld="1" subtotal="count" baseField="0" baseItem="0"/>
  </dataFields>
  <chartFormats count="16">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1"/>
          </reference>
          <reference field="0" count="1" selected="0">
            <x v="1"/>
          </reference>
        </references>
      </pivotArea>
    </chartFormat>
    <chartFormat chart="0" format="5">
      <pivotArea type="data" outline="0" fieldPosition="0">
        <references count="2">
          <reference field="4294967294" count="1" selected="0">
            <x v="1"/>
          </reference>
          <reference field="0" count="1" selected="0">
            <x v="2"/>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1"/>
          </reference>
        </references>
      </pivotArea>
    </chartFormat>
    <chartFormat chart="11" format="9">
      <pivotArea type="data" outline="0" fieldPosition="0">
        <references count="2">
          <reference field="4294967294" count="1" selected="0">
            <x v="1"/>
          </reference>
          <reference field="0" count="1" selected="0">
            <x v="0"/>
          </reference>
        </references>
      </pivotArea>
    </chartFormat>
    <chartFormat chart="11" format="10">
      <pivotArea type="data" outline="0" fieldPosition="0">
        <references count="2">
          <reference field="4294967294" count="1" selected="0">
            <x v="1"/>
          </reference>
          <reference field="0" count="1" selected="0">
            <x v="1"/>
          </reference>
        </references>
      </pivotArea>
    </chartFormat>
    <chartFormat chart="11" format="11">
      <pivotArea type="data" outline="0" fieldPosition="0">
        <references count="2">
          <reference field="4294967294" count="1" selected="0">
            <x v="1"/>
          </reference>
          <reference field="0"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 chart="12" format="14">
      <pivotArea type="data" outline="0" fieldPosition="0">
        <references count="2">
          <reference field="4294967294" count="1" selected="0">
            <x v="1"/>
          </reference>
          <reference field="0" count="1" selected="0">
            <x v="0"/>
          </reference>
        </references>
      </pivotArea>
    </chartFormat>
    <chartFormat chart="12" format="15">
      <pivotArea type="data" outline="0" fieldPosition="0">
        <references count="2">
          <reference field="4294967294" count="1" selected="0">
            <x v="1"/>
          </reference>
          <reference field="0" count="1" selected="0">
            <x v="1"/>
          </reference>
        </references>
      </pivotArea>
    </chartFormat>
    <chartFormat chart="12" format="16">
      <pivotArea type="data" outline="0" fieldPosition="0">
        <references count="2">
          <reference field="4294967294" count="1" selected="0">
            <x v="1"/>
          </reference>
          <reference field="0" count="1" selected="0">
            <x v="2"/>
          </reference>
        </references>
      </pivotArea>
    </chartFormat>
    <chartFormat chart="12" format="17">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2">
        <x15:serverFormat format="#,0"/>
        <x15:serverFormat format="0.00"/>
      </x15:pivotTableServerFormats>
    </ext>
    <ext xmlns:x15="http://schemas.microsoft.com/office/spreadsheetml/2010/11/main" uri="{44433962-1CF7-4059-B4EE-95C3D5FFCF73}">
      <x15:pivotTableData rowCount="4" columnCount="2" cacheId="1606742754">
        <x15:pivotRow count="2">
          <x15:c>
            <x15:v>2102.1484375</x15:v>
            <x15:x in="0"/>
          </x15:c>
          <x15:c>
            <x15:v>3.51171875</x15:v>
            <x15:x in="1"/>
          </x15:c>
        </x15:pivotRow>
        <x15:pivotRow count="2">
          <x15:c>
            <x15:v>2059.6165644171779</x15:v>
            <x15:x in="0"/>
          </x15:c>
          <x15:c>
            <x15:v>3.5812883435582821</x15:v>
            <x15:x in="1"/>
          </x15:c>
        </x15:pivotRow>
        <x15:pivotRow count="2">
          <x15:c>
            <x15:v>2013.1401869158879</x15:v>
            <x15:x in="0"/>
          </x15:c>
          <x15:c>
            <x15:v>3.7803738317757007</x15:v>
            <x15:x in="1"/>
          </x15:c>
        </x15:pivotRow>
        <x15:pivotRow count="2">
          <x15:c>
            <x15:v>2068.2017416545718</x15:v>
            <x15:x in="0"/>
          </x15:c>
          <x15:c>
            <x15:v>3.5863570391872277</x15:v>
            <x15:x in="1"/>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9EBCBF-B54A-472A-B487-FAFA5D959D3B}" name="PivotChartTable16" cacheId="9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3">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4" columnCount="1" cacheId="876321602">
        <x15:pivotRow count="1">
          <x15:c>
            <x15:v>128</x15:v>
            <x15:x in="0"/>
          </x15:c>
        </x15:pivotRow>
        <x15:pivotRow count="1">
          <x15:c>
            <x15:v>51</x15:v>
            <x15:x in="0"/>
          </x15:c>
        </x15:pivotRow>
        <x15:pivotRow count="1">
          <x15:c>
            <x15:v>510</x15:v>
            <x15:x in="0"/>
          </x15:c>
        </x15:pivotRow>
        <x15:pivotRow count="1">
          <x15:c>
            <x15:v>689</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E4981C-1FB4-4523-BD81-B1D69E24A256}" name="PivotChartTable13" cacheId="9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2">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 chart="0" format="11">
      <pivotArea type="data" outline="0" fieldPosition="0">
        <references count="2">
          <reference field="4294967294" count="1" selected="0">
            <x v="0"/>
          </reference>
          <reference field="0" count="1" selected="0">
            <x v="1"/>
          </reference>
        </references>
      </pivotArea>
    </chartFormat>
    <chartFormat chart="0" format="12">
      <pivotArea type="data" outline="0" fieldPosition="0">
        <references count="2">
          <reference field="4294967294" count="1" selected="0">
            <x v="0"/>
          </reference>
          <reference field="0" count="1" selected="0">
            <x v="2"/>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0" count="1" selected="0">
            <x v="0"/>
          </reference>
        </references>
      </pivotArea>
    </chartFormat>
    <chartFormat chart="12" format="15">
      <pivotArea type="data" outline="0" fieldPosition="0">
        <references count="2">
          <reference field="4294967294" count="1" selected="0">
            <x v="0"/>
          </reference>
          <reference field="0" count="1" selected="0">
            <x v="1"/>
          </reference>
        </references>
      </pivotArea>
    </chartFormat>
    <chartFormat chart="12" format="16">
      <pivotArea type="data" outline="0" fieldPosition="0">
        <references count="2">
          <reference field="4294967294" count="1" selected="0">
            <x v="0"/>
          </reference>
          <reference field="0" count="1" selected="0">
            <x v="2"/>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0" count="1" selected="0">
            <x v="0"/>
          </reference>
        </references>
      </pivotArea>
    </chartFormat>
    <chartFormat chart="13" format="19">
      <pivotArea type="data" outline="0" fieldPosition="0">
        <references count="2">
          <reference field="4294967294" count="1" selected="0">
            <x v="0"/>
          </reference>
          <reference field="0" count="1" selected="0">
            <x v="1"/>
          </reference>
        </references>
      </pivotArea>
    </chartFormat>
    <chartFormat chart="13" format="20">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4" columnCount="1" cacheId="418248563">
        <x15:pivotRow count="1">
          <x15:c>
            <x15:v>224</x15:v>
            <x15:x in="0"/>
          </x15:c>
        </x15:pivotRow>
        <x15:pivotRow count="1">
          <x15:c>
            <x15:v>194</x15:v>
            <x15:x in="0"/>
          </x15:c>
        </x15:pivotRow>
        <x15:pivotRow count="1">
          <x15:c>
            <x15:v>271</x15:v>
            <x15:x in="0"/>
          </x15:c>
        </x15:pivotRow>
        <x15:pivotRow count="1">
          <x15:c>
            <x15:v>689</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645677-FEE0-4D47-A76B-0C15D6EB54A0}" name="PivotChartTable22" cacheId="9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2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21" columnCount="1" cacheId="1157886653">
        <x15:pivotRow count="1">
          <x15:c>
            <x15:v>211</x15:v>
            <x15:x in="0"/>
          </x15:c>
        </x15:pivotRow>
        <x15:pivotRow count="1">
          <x15:c>
            <x15:v>38</x15:v>
            <x15:x in="0"/>
          </x15:c>
        </x15:pivotRow>
        <x15:pivotRow count="1">
          <x15:c>
            <x15:v>29</x15:v>
            <x15:x in="0"/>
          </x15:c>
        </x15:pivotRow>
        <x15:pivotRow count="1">
          <x15:c>
            <x15:v>29</x15:v>
            <x15:x in="0"/>
          </x15:c>
        </x15:pivotRow>
        <x15:pivotRow count="1">
          <x15:c>
            <x15:v>170</x15:v>
            <x15:x in="0"/>
          </x15:c>
        </x15:pivotRow>
        <x15:pivotRow count="1">
          <x15:c>
            <x15:v>11</x15:v>
            <x15:x in="0"/>
          </x15:c>
        </x15:pivotRow>
        <x15:pivotRow count="1">
          <x15:c>
            <x15:v>18</x15:v>
            <x15:x in="0"/>
          </x15:c>
        </x15:pivotRow>
        <x15:pivotRow count="1">
          <x15:c>
            <x15:v>74</x15:v>
            <x15:x in="0"/>
          </x15:c>
        </x15:pivotRow>
        <x15:pivotRow count="1">
          <x15:c>
            <x15:v>17</x15:v>
            <x15:x in="0"/>
          </x15:c>
        </x15:pivotRow>
        <x15:pivotRow count="1">
          <x15:c>
            <x15:v>300</x15:v>
            <x15:x in="0"/>
          </x15:c>
        </x15:pivotRow>
        <x15:pivotRow count="1">
          <x15:c>
            <x15:v>17</x15:v>
            <x15:x in="0"/>
          </x15:c>
        </x15:pivotRow>
        <x15:pivotRow count="1">
          <x15:c>
            <x15:v>96</x15:v>
            <x15:x in="0"/>
          </x15:c>
        </x15:pivotRow>
        <x15:pivotRow count="1">
          <x15:c>
            <x15:v>56</x15:v>
            <x15:x in="0"/>
          </x15:c>
        </x15:pivotRow>
        <x15:pivotRow count="1">
          <x15:c>
            <x15:v>38</x15:v>
            <x15:x in="0"/>
          </x15:c>
        </x15:pivotRow>
        <x15:pivotRow count="1">
          <x15:c>
            <x15:v>205</x15:v>
            <x15:x in="0"/>
          </x15:c>
        </x15:pivotRow>
        <x15:pivotRow count="1">
          <x15:c>
            <x15:v>204</x15:v>
            <x15:x in="0"/>
          </x15:c>
        </x15:pivotRow>
        <x15:pivotRow count="1">
          <x15:c>
            <x15:v>31</x15:v>
            <x15:x in="0"/>
          </x15:c>
        </x15:pivotRow>
        <x15:pivotRow count="1">
          <x15:c>
            <x15:v>7</x15:v>
            <x15:x in="0"/>
          </x15:c>
        </x15:pivotRow>
        <x15:pivotRow count="1">
          <x15:c>
            <x15:v>36</x15:v>
            <x15:x in="0"/>
          </x15:c>
        </x15:pivotRow>
        <x15:pivotRow count="1">
          <x15:c>
            <x15:v>45</x15:v>
            <x15:x in="0"/>
          </x15:c>
        </x15:pivotRow>
        <x15:pivotRow count="1">
          <x15:c>
            <x15:v>1632</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DDDFDC-9E56-4181-A189-CB8456F94864}" name="PivotChartTable21" cacheId="9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2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Overtime Hours" fld="1" subtotal="average" baseField="0" baseItem="17"/>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vertime Hours"/>
    <pivotHierarchy dragToData="1"/>
    <pivotHierarchy dragToData="1"/>
    <pivotHierarchy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1" columnCount="1" cacheId="182093536">
        <x15:pivotRow count="1">
          <x15:c>
            <x15:v>15.047619047619047</x15:v>
          </x15:c>
        </x15:pivotRow>
        <x15:pivotRow count="1">
          <x15:c>
            <x15:v>17.473684210526315</x15:v>
          </x15:c>
        </x15:pivotRow>
        <x15:pivotRow count="1">
          <x15:c>
            <x15:v>11.153846153846153</x15:v>
          </x15:c>
        </x15:pivotRow>
        <x15:pivotRow count="1">
          <x15:c>
            <x15:v>3.6666666666666665</x15:v>
          </x15:c>
        </x15:pivotRow>
        <x15:pivotRow count="1">
          <x15:c>
            <x15:v>10.431034482758621</x15:v>
          </x15:c>
        </x15:pivotRow>
        <x15:pivotRow count="1">
          <x15:c>
            <x15:v>18.375</x15:v>
          </x15:c>
        </x15:pivotRow>
        <x15:pivotRow count="1">
          <x15:c>
            <x15:v>17</x15:v>
          </x15:c>
        </x15:pivotRow>
        <x15:pivotRow count="1">
          <x15:c>
            <x15:v>13.074999999999999</x15:v>
          </x15:c>
        </x15:pivotRow>
        <x15:pivotRow count="1">
          <x15:c>
            <x15:v>38.625</x15:v>
          </x15:c>
        </x15:pivotRow>
        <x15:pivotRow count="1">
          <x15:c>
            <x15:v>12.135714285714286</x15:v>
          </x15:c>
        </x15:pivotRow>
        <x15:pivotRow count="1">
          <x15:c>
            <x15:v>26</x15:v>
          </x15:c>
        </x15:pivotRow>
        <x15:pivotRow count="1">
          <x15:c>
            <x15:v>6.916666666666667</x15:v>
          </x15:c>
        </x15:pivotRow>
        <x15:pivotRow count="1">
          <x15:c>
            <x15:v>6.4411764705882355</x15:v>
          </x15:c>
        </x15:pivotRow>
        <x15:pivotRow count="1">
          <x15:c>
            <x15:v>15.642857142857142</x15:v>
          </x15:c>
        </x15:pivotRow>
        <x15:pivotRow count="1">
          <x15:c>
            <x15:v>11.507462686567164</x15:v>
          </x15:c>
        </x15:pivotRow>
        <x15:pivotRow count="1">
          <x15:c>
            <x15:v>19.101123595505619</x15:v>
          </x15:c>
        </x15:pivotRow>
        <x15:pivotRow count="1">
          <x15:c>
            <x15:v>5.4</x15:v>
          </x15:c>
        </x15:pivotRow>
        <x15:pivotRow count="1">
          <x15:c>
            <x15:v>3</x15:v>
          </x15:c>
        </x15:pivotRow>
        <x15:pivotRow count="1">
          <x15:c>
            <x15:v>23.3</x15:v>
          </x15:c>
        </x15:pivotRow>
        <x15:pivotRow count="1">
          <x15:c>
            <x15:v>24.125</x15:v>
          </x15:c>
        </x15:pivotRow>
        <x15:pivotRow count="1">
          <x15:c>
            <x15:v>13.702467343976778</x15:v>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CC3CB4-EFFB-4334-849D-C48688E1E9A7}" name="PivotChartTable20" cacheId="9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2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21" columnCount="1" cacheId="949234927">
        <x15:pivotRow count="1">
          <x15:c>
            <x15:v>3.6904761904761907</x15:v>
            <x15:x in="0"/>
          </x15:c>
        </x15:pivotRow>
        <x15:pivotRow count="1">
          <x15:c>
            <x15:v>3.7894736842105261</x15:v>
            <x15:x in="0"/>
          </x15:c>
        </x15:pivotRow>
        <x15:pivotRow count="1">
          <x15:c>
            <x15:v>3.0769230769230771</x15:v>
            <x15:x in="0"/>
          </x15:c>
        </x15:pivotRow>
        <x15:pivotRow count="1">
          <x15:c>
            <x15:v>4.2222222222222223</x15:v>
            <x15:x in="0"/>
          </x15:c>
        </x15:pivotRow>
        <x15:pivotRow count="1">
          <x15:c>
            <x15:v>3.6206896551724137</x15:v>
            <x15:x in="0"/>
          </x15:c>
        </x15:pivotRow>
        <x15:pivotRow count="1">
          <x15:c>
            <x15:v>2.875</x15:v>
            <x15:x in="0"/>
          </x15:c>
        </x15:pivotRow>
        <x15:pivotRow count="1">
          <x15:c>
            <x15:v>4.3571428571428568</x15:v>
            <x15:x in="0"/>
          </x15:c>
        </x15:pivotRow>
        <x15:pivotRow count="1">
          <x15:c>
            <x15:v>3.6</x15:v>
            <x15:x in="0"/>
          </x15:c>
        </x15:pivotRow>
        <x15:pivotRow count="1">
          <x15:c>
            <x15:v>4.25</x15:v>
            <x15:x in="0"/>
          </x15:c>
        </x15:pivotRow>
        <x15:pivotRow count="1">
          <x15:c>
            <x15:v>3.5357142857142856</x15:v>
            <x15:x in="0"/>
          </x15:c>
        </x15:pivotRow>
        <x15:pivotRow count="1">
          <x15:c>
            <x15:v>4.0999999999999996</x15:v>
            <x15:x in="0"/>
          </x15:c>
        </x15:pivotRow>
        <x15:pivotRow count="1">
          <x15:c>
            <x15:v>3.4270833333333335</x15:v>
            <x15:x in="0"/>
          </x15:c>
        </x15:pivotRow>
        <x15:pivotRow count="1">
          <x15:c>
            <x15:v>3.4852941176470589</x15:v>
            <x15:x in="0"/>
          </x15:c>
        </x15:pivotRow>
        <x15:pivotRow count="1">
          <x15:c>
            <x15:v>3.7857142857142856</x15:v>
            <x15:x in="0"/>
          </x15:c>
        </x15:pivotRow>
        <x15:pivotRow count="1">
          <x15:c>
            <x15:v>3.5746268656716418</x15:v>
            <x15:x in="0"/>
          </x15:c>
        </x15:pivotRow>
        <x15:pivotRow count="1">
          <x15:c>
            <x15:v>3.7640449438202248</x15:v>
            <x15:x in="0"/>
          </x15:c>
        </x15:pivotRow>
        <x15:pivotRow count="1">
          <x15:c>
            <x15:v>3.3</x15:v>
            <x15:x in="0"/>
          </x15:c>
        </x15:pivotRow>
        <x15:pivotRow count="1">
          <x15:c>
            <x15:v>3</x15:v>
            <x15:x in="0"/>
          </x15:c>
        </x15:pivotRow>
        <x15:pivotRow count="1">
          <x15:c>
            <x15:v>3.2749999999999999</x15:v>
            <x15:x in="0"/>
          </x15:c>
        </x15:pivotRow>
        <x15:pivotRow count="1">
          <x15:c>
            <x15:v>2.90625</x15:v>
            <x15:x in="0"/>
          </x15:c>
        </x15:pivotRow>
        <x15:pivotRow count="1">
          <x15:c>
            <x15:v>3.5863570391872277</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0BC490-2CD0-4C84-B3B4-656E3AA6D5E4}" name="PivotChartTable17" cacheId="9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1:B2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chartFormats count="8">
    <chartFormat chart="0"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No"/>
    <pivotHierarchy dragToData="1"/>
    <pivotHierarchy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21" columnCount="1" cacheId="1135837061">
        <x15:pivotRow count="1">
          <x15:c>
            <x15:v>84</x15:v>
            <x15:x in="0"/>
          </x15:c>
        </x15:pivotRow>
        <x15:pivotRow count="1">
          <x15:c>
            <x15:v>19</x15:v>
            <x15:x in="0"/>
          </x15:c>
        </x15:pivotRow>
        <x15:pivotRow count="1">
          <x15:c>
            <x15:v>13</x15:v>
            <x15:x in="0"/>
          </x15:c>
        </x15:pivotRow>
        <x15:pivotRow count="1">
          <x15:c>
            <x15:v>9</x15:v>
            <x15:x in="0"/>
          </x15:c>
        </x15:pivotRow>
        <x15:pivotRow count="1">
          <x15:c>
            <x15:v>58</x15:v>
            <x15:x in="0"/>
          </x15:c>
        </x15:pivotRow>
        <x15:pivotRow count="1">
          <x15:c>
            <x15:v>8</x15:v>
            <x15:x in="0"/>
          </x15:c>
        </x15:pivotRow>
        <x15:pivotRow count="1">
          <x15:c>
            <x15:v>7</x15:v>
            <x15:x in="0"/>
          </x15:c>
        </x15:pivotRow>
        <x15:pivotRow count="1">
          <x15:c>
            <x15:v>40</x15:v>
            <x15:x in="0"/>
          </x15:c>
        </x15:pivotRow>
        <x15:pivotRow count="1">
          <x15:c>
            <x15:v>8</x15:v>
            <x15:x in="0"/>
          </x15:c>
        </x15:pivotRow>
        <x15:pivotRow count="1">
          <x15:c>
            <x15:v>140</x15:v>
            <x15:x in="0"/>
          </x15:c>
        </x15:pivotRow>
        <x15:pivotRow count="1">
          <x15:c>
            <x15:v>5</x15:v>
            <x15:x in="0"/>
          </x15:c>
        </x15:pivotRow>
        <x15:pivotRow count="1">
          <x15:c>
            <x15:v>48</x15:v>
            <x15:x in="0"/>
          </x15:c>
        </x15:pivotRow>
        <x15:pivotRow count="1">
          <x15:c>
            <x15:v>34</x15:v>
            <x15:x in="0"/>
          </x15:c>
        </x15:pivotRow>
        <x15:pivotRow count="1">
          <x15:c>
            <x15:v>14</x15:v>
            <x15:x in="0"/>
          </x15:c>
        </x15:pivotRow>
        <x15:pivotRow count="1">
          <x15:c>
            <x15:v>67</x15:v>
            <x15:x in="0"/>
          </x15:c>
        </x15:pivotRow>
        <x15:pivotRow count="1">
          <x15:c>
            <x15:v>89</x15:v>
            <x15:x in="0"/>
          </x15:c>
        </x15:pivotRow>
        <x15:pivotRow count="1">
          <x15:c>
            <x15:v>5</x15:v>
            <x15:x in="0"/>
          </x15:c>
        </x15:pivotRow>
        <x15:pivotRow count="1">
          <x15:c>
            <x15:v>5</x15:v>
            <x15:x in="0"/>
          </x15:c>
        </x15:pivotRow>
        <x15:pivotRow count="1">
          <x15:c>
            <x15:v>20</x15:v>
            <x15:x in="0"/>
          </x15:c>
        </x15:pivotRow>
        <x15:pivotRow count="1">
          <x15:c>
            <x15:v>16</x15:v>
            <x15:x in="0"/>
          </x15:c>
        </x15:pivotRow>
        <x15:pivotRow count="1">
          <x15:c>
            <x15:v>689</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DC7077-414F-45EA-82A2-CB19E281CA41}" name="PivotChartTable15" cacheId="9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 chart="12" format="28" series="1">
      <pivotArea type="data" outline="0" fieldPosition="0">
        <references count="1">
          <reference field="4294967294" count="1" selected="0">
            <x v="0"/>
          </reference>
        </references>
      </pivotArea>
    </chartFormat>
    <chartFormat chart="12" format="29">
      <pivotArea type="data" outline="0" fieldPosition="0">
        <references count="2">
          <reference field="4294967294" count="1" selected="0">
            <x v="0"/>
          </reference>
          <reference field="0" count="1" selected="0">
            <x v="0"/>
          </reference>
        </references>
      </pivotArea>
    </chartFormat>
    <chartFormat chart="12" format="30">
      <pivotArea type="data" outline="0" fieldPosition="0">
        <references count="2">
          <reference field="4294967294" count="1" selected="0">
            <x v="0"/>
          </reference>
          <reference field="0" count="1" selected="0">
            <x v="1"/>
          </reference>
        </references>
      </pivotArea>
    </chartFormat>
    <chartFormat chart="12" format="31">
      <pivotArea type="data" outline="0" fieldPosition="0">
        <references count="2">
          <reference field="4294967294" count="1" selected="0">
            <x v="0"/>
          </reference>
          <reference field="0" count="1" selected="0">
            <x v="2"/>
          </reference>
        </references>
      </pivotArea>
    </chartFormat>
    <chartFormat chart="7" format="32" series="1">
      <pivotArea type="data" outline="0" fieldPosition="0">
        <references count="1">
          <reference field="4294967294" count="1" selected="0">
            <x v="0"/>
          </reference>
        </references>
      </pivotArea>
    </chartFormat>
    <chartFormat chart="7" format="33">
      <pivotArea type="data" outline="0" fieldPosition="0">
        <references count="2">
          <reference field="4294967294" count="1" selected="0">
            <x v="0"/>
          </reference>
          <reference field="0" count="1" selected="0">
            <x v="0"/>
          </reference>
        </references>
      </pivotArea>
    </chartFormat>
    <chartFormat chart="7" format="34">
      <pivotArea type="data" outline="0" fieldPosition="0">
        <references count="2">
          <reference field="4294967294" count="1" selected="0">
            <x v="0"/>
          </reference>
          <reference field="0" count="1" selected="0">
            <x v="1"/>
          </reference>
        </references>
      </pivotArea>
    </chartFormat>
    <chartFormat chart="7" format="35">
      <pivotArea type="data" outline="0" fieldPosition="0">
        <references count="2">
          <reference field="4294967294" count="1" selected="0">
            <x v="0"/>
          </reference>
          <reference field="0" count="1" selected="0">
            <x v="2"/>
          </reference>
        </references>
      </pivotArea>
    </chartFormat>
    <chartFormat chart="13" format="36" series="1">
      <pivotArea type="data" outline="0" fieldPosition="0">
        <references count="1">
          <reference field="4294967294" count="1" selected="0">
            <x v="0"/>
          </reference>
        </references>
      </pivotArea>
    </chartFormat>
    <chartFormat chart="13" format="37">
      <pivotArea type="data" outline="0" fieldPosition="0">
        <references count="2">
          <reference field="4294967294" count="1" selected="0">
            <x v="0"/>
          </reference>
          <reference field="0" count="1" selected="0">
            <x v="0"/>
          </reference>
        </references>
      </pivotArea>
    </chartFormat>
    <chartFormat chart="13" format="38">
      <pivotArea type="data" outline="0" fieldPosition="0">
        <references count="2">
          <reference field="4294967294" count="1" selected="0">
            <x v="0"/>
          </reference>
          <reference field="0" count="1" selected="0">
            <x v="1"/>
          </reference>
        </references>
      </pivotArea>
    </chartFormat>
    <chartFormat chart="13" format="39">
      <pivotArea type="data" outline="0" fieldPosition="0">
        <references count="2">
          <reference field="4294967294" count="1" selected="0">
            <x v="0"/>
          </reference>
          <reference field="0" count="1" selected="0">
            <x v="2"/>
          </reference>
        </references>
      </pivotArea>
    </chartFormat>
    <chartFormat chart="14" format="40" series="1">
      <pivotArea type="data" outline="0" fieldPosition="0">
        <references count="1">
          <reference field="4294967294" count="1" selected="0">
            <x v="0"/>
          </reference>
        </references>
      </pivotArea>
    </chartFormat>
    <chartFormat chart="14" format="41">
      <pivotArea type="data" outline="0" fieldPosition="0">
        <references count="2">
          <reference field="4294967294" count="1" selected="0">
            <x v="0"/>
          </reference>
          <reference field="0" count="1" selected="0">
            <x v="0"/>
          </reference>
        </references>
      </pivotArea>
    </chartFormat>
    <chartFormat chart="14" format="42">
      <pivotArea type="data" outline="0" fieldPosition="0">
        <references count="2">
          <reference field="4294967294" count="1" selected="0">
            <x v="0"/>
          </reference>
          <reference field="0" count="1" selected="0">
            <x v="1"/>
          </reference>
        </references>
      </pivotArea>
    </chartFormat>
    <chartFormat chart="14" format="43">
      <pivotArea type="data" outline="0" fieldPosition="0">
        <references count="2">
          <reference field="4294967294" count="1" selected="0">
            <x v="0"/>
          </reference>
          <reference field="0" count="1" selected="0">
            <x v="2"/>
          </reference>
        </references>
      </pivotArea>
    </chartFormat>
    <chartFormat chart="18" format="44" series="1">
      <pivotArea type="data" outline="0" fieldPosition="0">
        <references count="1">
          <reference field="4294967294" count="1" selected="0">
            <x v="0"/>
          </reference>
        </references>
      </pivotArea>
    </chartFormat>
    <chartFormat chart="18" format="45">
      <pivotArea type="data" outline="0" fieldPosition="0">
        <references count="2">
          <reference field="4294967294" count="1" selected="0">
            <x v="0"/>
          </reference>
          <reference field="0" count="1" selected="0">
            <x v="0"/>
          </reference>
        </references>
      </pivotArea>
    </chartFormat>
    <chartFormat chart="18" format="46">
      <pivotArea type="data" outline="0" fieldPosition="0">
        <references count="2">
          <reference field="4294967294" count="1" selected="0">
            <x v="0"/>
          </reference>
          <reference field="0" count="1" selected="0">
            <x v="1"/>
          </reference>
        </references>
      </pivotArea>
    </chartFormat>
    <chartFormat chart="18" format="47">
      <pivotArea type="data" outline="0" fieldPosition="0">
        <references count="2">
          <reference field="4294967294" count="1" selected="0">
            <x v="0"/>
          </reference>
          <reference field="0" count="1" selected="0">
            <x v="2"/>
          </reference>
        </references>
      </pivotArea>
    </chartFormat>
    <chartFormat chart="19" format="48" series="1">
      <pivotArea type="data" outline="0" fieldPosition="0">
        <references count="1">
          <reference field="4294967294" count="1" selected="0">
            <x v="0"/>
          </reference>
        </references>
      </pivotArea>
    </chartFormat>
    <chartFormat chart="19" format="49">
      <pivotArea type="data" outline="0" fieldPosition="0">
        <references count="2">
          <reference field="4294967294" count="1" selected="0">
            <x v="0"/>
          </reference>
          <reference field="0" count="1" selected="0">
            <x v="0"/>
          </reference>
        </references>
      </pivotArea>
    </chartFormat>
    <chartFormat chart="19" format="50">
      <pivotArea type="data" outline="0" fieldPosition="0">
        <references count="2">
          <reference field="4294967294" count="1" selected="0">
            <x v="0"/>
          </reference>
          <reference field="0" count="1" selected="0">
            <x v="1"/>
          </reference>
        </references>
      </pivotArea>
    </chartFormat>
    <chartFormat chart="19" format="51">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4" columnCount="1" cacheId="781287534">
        <x15:pivotRow count="1">
          <x15:c>
            <x15:v>256</x15:v>
            <x15:x in="0"/>
          </x15:c>
        </x15:pivotRow>
        <x15:pivotRow count="1">
          <x15:c>
            <x15:v>326</x15:v>
            <x15:x in="0"/>
          </x15:c>
        </x15:pivotRow>
        <x15:pivotRow count="1">
          <x15:c>
            <x15:v>107</x15:v>
            <x15:x in="0"/>
          </x15:c>
        </x15:pivotRow>
        <x15:pivotRow count="1">
          <x15:c>
            <x15:v>689</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9BD0E0-538A-4B35-B0BD-31FCEC6D67DD}" name="PivotChartTable7" cacheId="9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0" format="4"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4" columnCount="1" cacheId="1931058547">
        <x15:pivotRow count="1">
          <x15:c>
            <x15:v>4594</x15:v>
            <x15:x in="0"/>
          </x15:c>
        </x15:pivotRow>
        <x15:pivotRow count="1">
          <x15:c>
            <x15:v>1886</x15:v>
            <x15:x in="0"/>
          </x15:c>
        </x15:pivotRow>
        <x15:pivotRow count="1">
          <x15:c>
            <x15:v>2961</x15:v>
            <x15:x in="0"/>
          </x15:c>
        </x15:pivotRow>
        <x15:pivotRow count="1">
          <x15:c>
            <x15:v>9441</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DDDFDC-9E56-4181-A189-CB8456F94864}" name="PivotChartTable2" cacheId="9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2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Overtime Hours" fld="1" subtotal="average" baseField="0" baseItem="17"/>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vertime Hours"/>
    <pivotHierarchy dragToData="1"/>
    <pivotHierarchy dragToData="1"/>
    <pivotHierarchy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1" columnCount="1" cacheId="1088426106">
        <x15:pivotRow count="1">
          <x15:c>
            <x15:v>15.047619047619047</x15:v>
          </x15:c>
        </x15:pivotRow>
        <x15:pivotRow count="1">
          <x15:c>
            <x15:v>17.473684210526315</x15:v>
          </x15:c>
        </x15:pivotRow>
        <x15:pivotRow count="1">
          <x15:c>
            <x15:v>11.153846153846153</x15:v>
          </x15:c>
        </x15:pivotRow>
        <x15:pivotRow count="1">
          <x15:c>
            <x15:v>3.6666666666666665</x15:v>
          </x15:c>
        </x15:pivotRow>
        <x15:pivotRow count="1">
          <x15:c>
            <x15:v>10.431034482758621</x15:v>
          </x15:c>
        </x15:pivotRow>
        <x15:pivotRow count="1">
          <x15:c>
            <x15:v>18.375</x15:v>
          </x15:c>
        </x15:pivotRow>
        <x15:pivotRow count="1">
          <x15:c>
            <x15:v>17</x15:v>
          </x15:c>
        </x15:pivotRow>
        <x15:pivotRow count="1">
          <x15:c>
            <x15:v>13.074999999999999</x15:v>
          </x15:c>
        </x15:pivotRow>
        <x15:pivotRow count="1">
          <x15:c>
            <x15:v>38.625</x15:v>
          </x15:c>
        </x15:pivotRow>
        <x15:pivotRow count="1">
          <x15:c>
            <x15:v>12.135714285714286</x15:v>
          </x15:c>
        </x15:pivotRow>
        <x15:pivotRow count="1">
          <x15:c>
            <x15:v>26</x15:v>
          </x15:c>
        </x15:pivotRow>
        <x15:pivotRow count="1">
          <x15:c>
            <x15:v>6.916666666666667</x15:v>
          </x15:c>
        </x15:pivotRow>
        <x15:pivotRow count="1">
          <x15:c>
            <x15:v>6.4411764705882355</x15:v>
          </x15:c>
        </x15:pivotRow>
        <x15:pivotRow count="1">
          <x15:c>
            <x15:v>15.642857142857142</x15:v>
          </x15:c>
        </x15:pivotRow>
        <x15:pivotRow count="1">
          <x15:c>
            <x15:v>11.507462686567164</x15:v>
          </x15:c>
        </x15:pivotRow>
        <x15:pivotRow count="1">
          <x15:c>
            <x15:v>19.101123595505619</x15:v>
          </x15:c>
        </x15:pivotRow>
        <x15:pivotRow count="1">
          <x15:c>
            <x15:v>5.4</x15:v>
          </x15:c>
        </x15:pivotRow>
        <x15:pivotRow count="1">
          <x15:c>
            <x15:v>3</x15:v>
          </x15:c>
        </x15:pivotRow>
        <x15:pivotRow count="1">
          <x15:c>
            <x15:v>23.3</x15:v>
          </x15:c>
        </x15:pivotRow>
        <x15:pivotRow count="1">
          <x15:c>
            <x15:v>24.125</x15:v>
          </x15:c>
        </x15:pivotRow>
        <x15:pivotRow count="1">
          <x15:c>
            <x15:v>13.702467343976778</x15:v>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0BC490-2CD0-4C84-B3B4-656E3AA6D5E4}" name="PivotChartTable1" cacheId="9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2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No"/>
    <pivotHierarchy dragToData="1"/>
    <pivotHierarchy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21" columnCount="1" cacheId="740997288">
        <x15:pivotRow count="1">
          <x15:c>
            <x15:v>84</x15:v>
            <x15:x in="0"/>
          </x15:c>
        </x15:pivotRow>
        <x15:pivotRow count="1">
          <x15:c>
            <x15:v>19</x15:v>
            <x15:x in="0"/>
          </x15:c>
        </x15:pivotRow>
        <x15:pivotRow count="1">
          <x15:c>
            <x15:v>13</x15:v>
            <x15:x in="0"/>
          </x15:c>
        </x15:pivotRow>
        <x15:pivotRow count="1">
          <x15:c>
            <x15:v>9</x15:v>
            <x15:x in="0"/>
          </x15:c>
        </x15:pivotRow>
        <x15:pivotRow count="1">
          <x15:c>
            <x15:v>58</x15:v>
            <x15:x in="0"/>
          </x15:c>
        </x15:pivotRow>
        <x15:pivotRow count="1">
          <x15:c>
            <x15:v>8</x15:v>
            <x15:x in="0"/>
          </x15:c>
        </x15:pivotRow>
        <x15:pivotRow count="1">
          <x15:c>
            <x15:v>7</x15:v>
            <x15:x in="0"/>
          </x15:c>
        </x15:pivotRow>
        <x15:pivotRow count="1">
          <x15:c>
            <x15:v>40</x15:v>
            <x15:x in="0"/>
          </x15:c>
        </x15:pivotRow>
        <x15:pivotRow count="1">
          <x15:c>
            <x15:v>8</x15:v>
            <x15:x in="0"/>
          </x15:c>
        </x15:pivotRow>
        <x15:pivotRow count="1">
          <x15:c>
            <x15:v>140</x15:v>
            <x15:x in="0"/>
          </x15:c>
        </x15:pivotRow>
        <x15:pivotRow count="1">
          <x15:c>
            <x15:v>5</x15:v>
            <x15:x in="0"/>
          </x15:c>
        </x15:pivotRow>
        <x15:pivotRow count="1">
          <x15:c>
            <x15:v>48</x15:v>
            <x15:x in="0"/>
          </x15:c>
        </x15:pivotRow>
        <x15:pivotRow count="1">
          <x15:c>
            <x15:v>34</x15:v>
            <x15:x in="0"/>
          </x15:c>
        </x15:pivotRow>
        <x15:pivotRow count="1">
          <x15:c>
            <x15:v>14</x15:v>
            <x15:x in="0"/>
          </x15:c>
        </x15:pivotRow>
        <x15:pivotRow count="1">
          <x15:c>
            <x15:v>67</x15:v>
            <x15:x in="0"/>
          </x15:c>
        </x15:pivotRow>
        <x15:pivotRow count="1">
          <x15:c>
            <x15:v>89</x15:v>
            <x15:x in="0"/>
          </x15:c>
        </x15:pivotRow>
        <x15:pivotRow count="1">
          <x15:c>
            <x15:v>5</x15:v>
            <x15:x in="0"/>
          </x15:c>
        </x15:pivotRow>
        <x15:pivotRow count="1">
          <x15:c>
            <x15:v>5</x15:v>
            <x15:x in="0"/>
          </x15:c>
        </x15:pivotRow>
        <x15:pivotRow count="1">
          <x15:c>
            <x15:v>20</x15:v>
            <x15:x in="0"/>
          </x15:c>
        </x15:pivotRow>
        <x15:pivotRow count="1">
          <x15:c>
            <x15:v>16</x15:v>
            <x15:x in="0"/>
          </x15:c>
        </x15:pivotRow>
        <x15:pivotRow count="1">
          <x15:c>
            <x15:v>689</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1645677-FEE0-4D47-A76B-0C15D6EB54A0}" name="PivotChartTable3" cacheId="9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2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21" columnCount="1" cacheId="208689662">
        <x15:pivotRow count="1">
          <x15:c>
            <x15:v>211</x15:v>
            <x15:x in="0"/>
          </x15:c>
        </x15:pivotRow>
        <x15:pivotRow count="1">
          <x15:c>
            <x15:v>38</x15:v>
            <x15:x in="0"/>
          </x15:c>
        </x15:pivotRow>
        <x15:pivotRow count="1">
          <x15:c>
            <x15:v>29</x15:v>
            <x15:x in="0"/>
          </x15:c>
        </x15:pivotRow>
        <x15:pivotRow count="1">
          <x15:c>
            <x15:v>29</x15:v>
            <x15:x in="0"/>
          </x15:c>
        </x15:pivotRow>
        <x15:pivotRow count="1">
          <x15:c>
            <x15:v>170</x15:v>
            <x15:x in="0"/>
          </x15:c>
        </x15:pivotRow>
        <x15:pivotRow count="1">
          <x15:c>
            <x15:v>11</x15:v>
            <x15:x in="0"/>
          </x15:c>
        </x15:pivotRow>
        <x15:pivotRow count="1">
          <x15:c>
            <x15:v>18</x15:v>
            <x15:x in="0"/>
          </x15:c>
        </x15:pivotRow>
        <x15:pivotRow count="1">
          <x15:c>
            <x15:v>74</x15:v>
            <x15:x in="0"/>
          </x15:c>
        </x15:pivotRow>
        <x15:pivotRow count="1">
          <x15:c>
            <x15:v>17</x15:v>
            <x15:x in="0"/>
          </x15:c>
        </x15:pivotRow>
        <x15:pivotRow count="1">
          <x15:c>
            <x15:v>300</x15:v>
            <x15:x in="0"/>
          </x15:c>
        </x15:pivotRow>
        <x15:pivotRow count="1">
          <x15:c>
            <x15:v>17</x15:v>
            <x15:x in="0"/>
          </x15:c>
        </x15:pivotRow>
        <x15:pivotRow count="1">
          <x15:c>
            <x15:v>96</x15:v>
            <x15:x in="0"/>
          </x15:c>
        </x15:pivotRow>
        <x15:pivotRow count="1">
          <x15:c>
            <x15:v>56</x15:v>
            <x15:x in="0"/>
          </x15:c>
        </x15:pivotRow>
        <x15:pivotRow count="1">
          <x15:c>
            <x15:v>38</x15:v>
            <x15:x in="0"/>
          </x15:c>
        </x15:pivotRow>
        <x15:pivotRow count="1">
          <x15:c>
            <x15:v>205</x15:v>
            <x15:x in="0"/>
          </x15:c>
        </x15:pivotRow>
        <x15:pivotRow count="1">
          <x15:c>
            <x15:v>204</x15:v>
            <x15:x in="0"/>
          </x15:c>
        </x15:pivotRow>
        <x15:pivotRow count="1">
          <x15:c>
            <x15:v>31</x15:v>
            <x15:x in="0"/>
          </x15:c>
        </x15:pivotRow>
        <x15:pivotRow count="1">
          <x15:c>
            <x15:v>7</x15:v>
            <x15:x in="0"/>
          </x15:c>
        </x15:pivotRow>
        <x15:pivotRow count="1">
          <x15:c>
            <x15:v>36</x15:v>
            <x15:x in="0"/>
          </x15:c>
        </x15:pivotRow>
        <x15:pivotRow count="1">
          <x15:c>
            <x15:v>45</x15:v>
            <x15:x in="0"/>
          </x15:c>
        </x15:pivotRow>
        <x15:pivotRow count="1">
          <x15:c>
            <x15:v>1632</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AE4981C-1FB4-4523-BD81-B1D69E24A256}" name="PivotChartTable4" cacheId="9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4">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 chart="0" format="11">
      <pivotArea type="data" outline="0" fieldPosition="0">
        <references count="2">
          <reference field="4294967294" count="1" selected="0">
            <x v="0"/>
          </reference>
          <reference field="0" count="1" selected="0">
            <x v="1"/>
          </reference>
        </references>
      </pivotArea>
    </chartFormat>
    <chartFormat chart="0" format="12">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4" columnCount="1" cacheId="2141444126">
        <x15:pivotRow count="1">
          <x15:c>
            <x15:v>224</x15:v>
            <x15:x in="0"/>
          </x15:c>
        </x15:pivotRow>
        <x15:pivotRow count="1">
          <x15:c>
            <x15:v>194</x15:v>
            <x15:x in="0"/>
          </x15:c>
        </x15:pivotRow>
        <x15:pivotRow count="1">
          <x15:c>
            <x15:v>271</x15:v>
            <x15:x in="0"/>
          </x15:c>
        </x15:pivotRow>
        <x15:pivotRow count="1">
          <x15:c>
            <x15:v>689</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BCC3CB4-EFFB-4334-849D-C48688E1E9A7}" name="PivotChartTable6" cacheId="9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2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21" columnCount="1" cacheId="294072812">
        <x15:pivotRow count="1">
          <x15:c>
            <x15:v>3.6904761904761907</x15:v>
            <x15:x in="0"/>
          </x15:c>
        </x15:pivotRow>
        <x15:pivotRow count="1">
          <x15:c>
            <x15:v>3.7894736842105261</x15:v>
            <x15:x in="0"/>
          </x15:c>
        </x15:pivotRow>
        <x15:pivotRow count="1">
          <x15:c>
            <x15:v>3.0769230769230771</x15:v>
            <x15:x in="0"/>
          </x15:c>
        </x15:pivotRow>
        <x15:pivotRow count="1">
          <x15:c>
            <x15:v>4.2222222222222223</x15:v>
            <x15:x in="0"/>
          </x15:c>
        </x15:pivotRow>
        <x15:pivotRow count="1">
          <x15:c>
            <x15:v>3.6206896551724137</x15:v>
            <x15:x in="0"/>
          </x15:c>
        </x15:pivotRow>
        <x15:pivotRow count="1">
          <x15:c>
            <x15:v>2.875</x15:v>
            <x15:x in="0"/>
          </x15:c>
        </x15:pivotRow>
        <x15:pivotRow count="1">
          <x15:c>
            <x15:v>4.3571428571428568</x15:v>
            <x15:x in="0"/>
          </x15:c>
        </x15:pivotRow>
        <x15:pivotRow count="1">
          <x15:c>
            <x15:v>3.6</x15:v>
            <x15:x in="0"/>
          </x15:c>
        </x15:pivotRow>
        <x15:pivotRow count="1">
          <x15:c>
            <x15:v>4.25</x15:v>
            <x15:x in="0"/>
          </x15:c>
        </x15:pivotRow>
        <x15:pivotRow count="1">
          <x15:c>
            <x15:v>3.5357142857142856</x15:v>
            <x15:x in="0"/>
          </x15:c>
        </x15:pivotRow>
        <x15:pivotRow count="1">
          <x15:c>
            <x15:v>4.0999999999999996</x15:v>
            <x15:x in="0"/>
          </x15:c>
        </x15:pivotRow>
        <x15:pivotRow count="1">
          <x15:c>
            <x15:v>3.4270833333333335</x15:v>
            <x15:x in="0"/>
          </x15:c>
        </x15:pivotRow>
        <x15:pivotRow count="1">
          <x15:c>
            <x15:v>3.4852941176470589</x15:v>
            <x15:x in="0"/>
          </x15:c>
        </x15:pivotRow>
        <x15:pivotRow count="1">
          <x15:c>
            <x15:v>3.7857142857142856</x15:v>
            <x15:x in="0"/>
          </x15:c>
        </x15:pivotRow>
        <x15:pivotRow count="1">
          <x15:c>
            <x15:v>3.5746268656716418</x15:v>
            <x15:x in="0"/>
          </x15:c>
        </x15:pivotRow>
        <x15:pivotRow count="1">
          <x15:c>
            <x15:v>3.7640449438202248</x15:v>
            <x15:x in="0"/>
          </x15:c>
        </x15:pivotRow>
        <x15:pivotRow count="1">
          <x15:c>
            <x15:v>3.3</x15:v>
            <x15:x in="0"/>
          </x15:c>
        </x15:pivotRow>
        <x15:pivotRow count="1">
          <x15:c>
            <x15:v>3</x15:v>
            <x15:x in="0"/>
          </x15:c>
        </x15:pivotRow>
        <x15:pivotRow count="1">
          <x15:c>
            <x15:v>3.2749999999999999</x15:v>
            <x15:x in="0"/>
          </x15:c>
        </x15:pivotRow>
        <x15:pivotRow count="1">
          <x15:c>
            <x15:v>2.90625</x15:v>
            <x15:x in="0"/>
          </x15:c>
        </x15:pivotRow>
        <x15:pivotRow count="1">
          <x15:c>
            <x15:v>3.5863570391872277</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B9EBCBF-B54A-472A-B487-FAFA5D959D3B}" name="PivotChartTable8" cacheId="9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4" columnCount="1" cacheId="770042896">
        <x15:pivotRow count="1">
          <x15:c>
            <x15:v>128</x15:v>
            <x15:x in="0"/>
          </x15:c>
        </x15:pivotRow>
        <x15:pivotRow count="1">
          <x15:c>
            <x15:v>51</x15:v>
            <x15:x in="0"/>
          </x15:c>
        </x15:pivotRow>
        <x15:pivotRow count="1">
          <x15:c>
            <x15:v>510</x15:v>
            <x15:x in="0"/>
          </x15:c>
        </x15:pivotRow>
        <x15:pivotRow count="1">
          <x15:c>
            <x15:v>689</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F9A7E86-2E51-42CB-B31B-F7A1563FB1C0}" name="PivotChartTable9" cacheId="9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C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2" subtotal="count" baseField="0" baseItem="0"/>
    <dataField fld="1" subtotal="count" baseField="0" baseItem="0"/>
  </dataFields>
  <chartFormats count="5">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1"/>
          </reference>
          <reference field="0" count="1" selected="0">
            <x v="1"/>
          </reference>
        </references>
      </pivotArea>
    </chartFormat>
    <chartFormat chart="0" format="5">
      <pivotArea type="data" outline="0" fieldPosition="0">
        <references count="2">
          <reference field="4294967294" count="1" selected="0">
            <x v="1"/>
          </reference>
          <reference field="0" count="1" selected="0">
            <x v="2"/>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2">
        <x15:serverFormat format="#,0"/>
        <x15:serverFormat format="0.00"/>
      </x15:pivotTableServerFormats>
    </ext>
    <ext xmlns:x15="http://schemas.microsoft.com/office/spreadsheetml/2010/11/main" uri="{44433962-1CF7-4059-B4EE-95C3D5FFCF73}">
      <x15:pivotTableData rowCount="4" columnCount="2" cacheId="77471110">
        <x15:pivotRow count="2">
          <x15:c>
            <x15:v>2102.1484375</x15:v>
            <x15:x in="0"/>
          </x15:c>
          <x15:c>
            <x15:v>3.51171875</x15:v>
            <x15:x in="1"/>
          </x15:c>
        </x15:pivotRow>
        <x15:pivotRow count="2">
          <x15:c>
            <x15:v>2059.6165644171779</x15:v>
            <x15:x in="0"/>
          </x15:c>
          <x15:c>
            <x15:v>3.5812883435582821</x15:v>
            <x15:x in="1"/>
          </x15:c>
        </x15:pivotRow>
        <x15:pivotRow count="2">
          <x15:c>
            <x15:v>2013.1401869158879</x15:v>
            <x15:x in="0"/>
          </x15:c>
          <x15:c>
            <x15:v>3.7803738317757007</x15:v>
            <x15:x in="1"/>
          </x15:c>
        </x15:pivotRow>
        <x15:pivotRow count="2">
          <x15:c>
            <x15:v>2068.2017416545718</x15:v>
            <x15:x in="0"/>
          </x15:c>
          <x15:c>
            <x15:v>3.5863570391872277</x15:v>
            <x15:x in="1"/>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BDC7077-414F-45EA-82A2-CB19E281CA41}" name="PivotChartTable10" cacheId="9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4" columnCount="1" cacheId="1959384928">
        <x15:pivotRow count="1">
          <x15:c>
            <x15:v>256</x15:v>
            <x15:x in="0"/>
          </x15:c>
        </x15:pivotRow>
        <x15:pivotRow count="1">
          <x15:c>
            <x15:v>326</x15:v>
            <x15:x in="0"/>
          </x15:c>
        </x15:pivotRow>
        <x15:pivotRow count="1">
          <x15:c>
            <x15:v>107</x15:v>
            <x15:x in="0"/>
          </x15:c>
        </x15:pivotRow>
        <x15:pivotRow count="1">
          <x15:c>
            <x15:v>689</x15:v>
            <x15:x in="0"/>
          </x15:c>
        </x15:pivotRow>
      </x15:pivotTableData>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05EC7A9-3CE6-4026-AE28-A4CFDC1ADC08}" name="PivotTable15" cacheId="8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alary Classification Analysis">
  <location ref="A130:C134" firstHeaderRow="0" firstDataRow="1" firstDataCol="1"/>
  <pivotFields count="4">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Fields count="1">
    <field x="-2"/>
  </colFields>
  <colItems count="2">
    <i>
      <x/>
    </i>
    <i i="1">
      <x v="1"/>
    </i>
  </colItems>
  <dataFields count="2">
    <dataField fld="1" subtotal="count" baseField="0" baseItem="0"/>
    <dataField fld="3"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313D652-EA09-42AB-ADA1-BF293D8A8F37}" name="PivotTable5" cacheId="9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61F7184-FEB6-45DA-8DEC-0811EA9E6530}" name="PivotTable11" cacheId="8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rowHeaderCaption="Years">
  <location ref="A152:B15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2D5F9E0-FF4E-4858-A0A6-B63E3D1AB196}" name="PivotTable8" cacheId="9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Department">
  <location ref="A17:E38" firstHeaderRow="0" firstDataRow="1" firstDataCol="1"/>
  <pivotFields count="6">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v="9"/>
    </i>
    <i>
      <x v="15"/>
    </i>
    <i>
      <x/>
    </i>
    <i>
      <x v="14"/>
    </i>
    <i>
      <x v="4"/>
    </i>
    <i>
      <x v="11"/>
    </i>
    <i>
      <x v="7"/>
    </i>
    <i>
      <x v="12"/>
    </i>
    <i>
      <x v="18"/>
    </i>
    <i>
      <x v="1"/>
    </i>
    <i>
      <x v="19"/>
    </i>
    <i>
      <x v="13"/>
    </i>
    <i>
      <x v="2"/>
    </i>
    <i>
      <x v="3"/>
    </i>
    <i>
      <x v="5"/>
    </i>
    <i>
      <x v="8"/>
    </i>
    <i>
      <x v="6"/>
    </i>
    <i>
      <x v="16"/>
    </i>
    <i>
      <x v="17"/>
    </i>
    <i>
      <x v="10"/>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name="Average of Overtime Hours" fld="4" subtotal="average" baseField="0" baseItem="9" numFmtId="3"/>
  </dataFields>
  <formats count="3">
    <format dxfId="51">
      <pivotArea outline="0" fieldPosition="0">
        <references count="1">
          <reference field="4294967294" count="1">
            <x v="3"/>
          </reference>
        </references>
      </pivotArea>
    </format>
    <format dxfId="50">
      <pivotArea outline="0" fieldPosition="0">
        <references count="1">
          <reference field="4294967294" count="1">
            <x v="3"/>
          </reference>
        </references>
      </pivotArea>
    </format>
    <format dxfId="49">
      <pivotArea collapsedLevelsAreSubtotals="1" fieldPosition="0">
        <references count="2">
          <reference field="4294967294" count="1" selected="0">
            <x v="3"/>
          </reference>
          <reference field="0" count="1">
            <x v="9"/>
          </reference>
        </references>
      </pivotArea>
    </format>
  </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Monthly Salary"/>
    <pivotHierarchy dragToData="1"/>
    <pivotHierarchy dragToData="1"/>
    <pivotHierarchy dragToData="1" caption="Average of Overtime Hou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1F56038-E7DB-4C79-B64C-F7A24817D934}" name="PivotTable12" cacheId="8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rowHeaderCaption="Gender">
  <location ref="A98:B101" firstHeaderRow="1" firstDataRow="1"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3">
    <i>
      <x v="1"/>
    </i>
    <i>
      <x/>
    </i>
    <i t="grand">
      <x/>
    </i>
  </rowItems>
  <colItems count="1">
    <i/>
  </colItems>
  <dataFields count="1">
    <dataField fld="1" subtotal="count" showDataAs="percentOfTotal" baseField="0" baseItem="0" numFmtId="165"/>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4" format="36" series="1">
      <pivotArea type="data" outline="0" fieldPosition="0">
        <references count="1">
          <reference field="4294967294" count="1" selected="0">
            <x v="0"/>
          </reference>
        </references>
      </pivotArea>
    </chartFormat>
    <chartFormat chart="14" format="37">
      <pivotArea type="data" outline="0" fieldPosition="0">
        <references count="2">
          <reference field="4294967294" count="1" selected="0">
            <x v="0"/>
          </reference>
          <reference field="2" count="1" selected="0">
            <x v="1"/>
          </reference>
        </references>
      </pivotArea>
    </chartFormat>
    <chartFormat chart="14" format="38">
      <pivotArea type="data" outline="0" fieldPosition="0">
        <references count="2">
          <reference field="4294967294" count="1" selected="0">
            <x v="0"/>
          </reference>
          <reference field="2" count="1" selected="0">
            <x v="0"/>
          </reference>
        </references>
      </pivotArea>
    </chartFormat>
    <chartFormat chart="17" format="42" series="1">
      <pivotArea type="data" outline="0" fieldPosition="0">
        <references count="1">
          <reference field="4294967294" count="1" selected="0">
            <x v="0"/>
          </reference>
        </references>
      </pivotArea>
    </chartFormat>
    <chartFormat chart="17" format="43">
      <pivotArea type="data" outline="0" fieldPosition="0">
        <references count="2">
          <reference field="4294967294" count="1" selected="0">
            <x v="0"/>
          </reference>
          <reference field="2" count="1" selected="0">
            <x v="1"/>
          </reference>
        </references>
      </pivotArea>
    </chartFormat>
    <chartFormat chart="17" format="44">
      <pivotArea type="data" outline="0" fieldPosition="0">
        <references count="2">
          <reference field="4294967294" count="1" selected="0">
            <x v="0"/>
          </reference>
          <reference field="2"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54FBC91-6FD6-4DE8-A233-D7B6384432FB}" name="PivotTable3" cacheId="8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5:G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27F24D2-21FF-4D40-85D4-D26A21805FB2}" name="PivotTable18" cacheId="8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Department">
  <location ref="A167:D188" firstHeaderRow="0" firstDataRow="1" firstDataCol="1"/>
  <pivotFields count="5">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Sick Leaves" fld="1" baseField="0" baseItem="0"/>
    <dataField name="Sum of Unpaid Leaves" fld="2" baseField="0" baseItem="0"/>
    <dataField fld="3"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57837A4-2671-4E82-9014-9764783809CA}" name="PivotTable10" cacheId="8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ountry">
  <location ref="A83:B8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2"/>
    </i>
    <i>
      <x v="3"/>
    </i>
    <i>
      <x v="1"/>
    </i>
    <i t="grand">
      <x/>
    </i>
  </rowItems>
  <colItems count="1">
    <i/>
  </colItems>
  <dataFields count="1">
    <dataField fld="1"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A2BA295-9406-417C-83FD-01094905C3B7}" name="PivotTable1" cacheId="8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E95A8D9-EE72-4336-8C46-633CD0433E43}" name="PivotTable22" cacheId="8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Department">
  <location ref="A45:B56"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2"/>
    </i>
    <i>
      <x v="7"/>
    </i>
    <i>
      <x v="8"/>
    </i>
    <i>
      <x v="4"/>
    </i>
    <i>
      <x v="5"/>
    </i>
    <i>
      <x v="1"/>
    </i>
    <i>
      <x v="9"/>
    </i>
    <i>
      <x/>
    </i>
    <i>
      <x v="3"/>
    </i>
    <i t="grand">
      <x/>
    </i>
  </rowItems>
  <colItems count="1">
    <i/>
  </colItems>
  <dataFields count="1">
    <dataField name="Average of Annual Salary" fld="1" subtotal="average" baseField="0" baseItem="0" numFmtId="3"/>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nnual Salary"/>
    <pivotHierarchy dragToData="1"/>
  </pivotHierarchies>
  <pivotTableStyleInfo name="PivotStyleLight16" showRowHeaders="1" showColHeaders="1" showRowStripes="0" showColStripes="0" showLastColumn="1"/>
  <filters count="1">
    <filter fld="0" type="count" id="2" iMeasureHier="4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2722E47-2A9E-49DA-AADD-AE94E76D1D20}" name="PivotTable13" cacheId="8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Experience Groups">
  <location ref="A108:D112"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F8511C1-E4A2-4114-A599-D0C6B8BA6DF9}" name="PivotTable6" cacheId="9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9:D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70D1AB49-2947-464E-A932-4C7C362582AE}" name="PivotTable16" cacheId="8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Job Rate Category">
  <location ref="A141:B145" firstHeaderRow="1" firstDataRow="1" firstDataCol="1"/>
  <pivotFields count="4">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i>
    <i>
      <x v="2"/>
    </i>
    <i>
      <x v="1"/>
    </i>
    <i t="grand">
      <x/>
    </i>
  </rowItems>
  <colItems count="1">
    <i/>
  </colItems>
  <dataFields count="1">
    <dataField fld="1"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1"/>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163540C-8617-49BC-BE41-8692D54C3880}" name="PivotTable7" cacheId="9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9:G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C24FEA9-6B2B-4F26-94CC-C24D1B8517EE}" name="PivotTable2" cacheId="8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5:D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BDEADBC-3762-4AAC-B816-7D12DC1874F2}" name="PivotTable14" cacheId="8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Overtime Category">
  <location ref="A119:C123"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Fields count="1">
    <field x="-2"/>
  </colFields>
  <colItems count="2">
    <i>
      <x/>
    </i>
    <i i="1">
      <x v="1"/>
    </i>
  </colItems>
  <dataFields count="2">
    <dataField fld="1" subtotal="count" baseField="0" baseItem="0"/>
    <dataField fld="2"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2605E920-0EED-4F5C-9A10-4AE075AAAD41}" name="PivotTable4" cacheId="8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5:J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Clea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05A438-88CF-409B-949D-347E3BB0628F}" autoFormatId="16" applyNumberFormats="0" applyBorderFormats="0" applyFontFormats="0" applyPatternFormats="0" applyAlignmentFormats="0" applyWidthHeightFormats="0">
  <queryTableRefresh nextId="23">
    <queryTableFields count="22">
      <queryTableField id="1" name="No" tableColumnId="1"/>
      <queryTableField id="2" name="First Name" tableColumnId="2"/>
      <queryTableField id="3" name="Last Name" tableColumnId="3"/>
      <queryTableField id="4" name="Full Name" tableColumnId="4"/>
      <queryTableField id="5" name="Gender" tableColumnId="5"/>
      <queryTableField id="6" name="Start Date" tableColumnId="6"/>
      <queryTableField id="7" name="Years" tableColumnId="7"/>
      <queryTableField id="8" name="Experience Group" tableColumnId="8"/>
      <queryTableField id="9" name="Department" tableColumnId="9"/>
      <queryTableField id="10" name="Country" tableColumnId="10"/>
      <queryTableField id="11" name="Center" tableColumnId="11"/>
      <queryTableField id="12" name="Monthly Salary" tableColumnId="12"/>
      <queryTableField id="13" name="Salary Classification" tableColumnId="13"/>
      <queryTableField id="14" name="Annual Salary" tableColumnId="14"/>
      <queryTableField id="15" name="Salary per Experience" tableColumnId="15"/>
      <queryTableField id="16" name="Job Rate" tableColumnId="16"/>
      <queryTableField id="17" name="Job Rate Category" tableColumnId="17"/>
      <queryTableField id="18" name="Sick Leaves" tableColumnId="18"/>
      <queryTableField id="19" name="Unpaid Leaves" tableColumnId="19"/>
      <queryTableField id="20" name="Leave Category" tableColumnId="20"/>
      <queryTableField id="21" name="Overtime Hours" tableColumnId="21"/>
      <queryTableField id="22" name="Overtime Category"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D676CF4-C827-4587-A2A4-5D0AD1A98693}" sourceName="[Employees_Clean].[Department]">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s>
  <data>
    <olap pivotCacheId="1012364842">
      <levels count="2">
        <level uniqueName="[Employees_Clean].[Department].[(All)]" sourceCaption="(All)" count="0"/>
        <level uniqueName="[Employees_Clean].[Department].[Department]" sourceCaption="Department" count="20">
          <ranges>
            <range startItem="0">
              <i n="[Employees_Clean].[Department].&amp;[Account Management]" c="Account Management"/>
              <i n="[Employees_Clean].[Department].&amp;[Creative]" c="Creative"/>
              <i n="[Employees_Clean].[Department].&amp;[Environmental Compliance]" c="Environmental Compliance"/>
              <i n="[Employees_Clean].[Department].&amp;[Environmental Health/Safety]" c="Environmental Health/Safety"/>
              <i n="[Employees_Clean].[Department].&amp;[Facilities/Engineering]" c="Facilities/Engineering"/>
              <i n="[Employees_Clean].[Department].&amp;[Green Building]" c="Green Building"/>
              <i n="[Employees_Clean].[Department].&amp;[Human Resources]" c="Human Resources"/>
              <i n="[Employees_Clean].[Department].&amp;[IT]" c="IT"/>
              <i n="[Employees_Clean].[Department].&amp;[Major Mfg Projects]" c="Major Mfg Projects"/>
              <i n="[Employees_Clean].[Department].&amp;[Manufacturing]" c="Manufacturing"/>
              <i n="[Employees_Clean].[Department].&amp;[Manufacturing Admin]" c="Manufacturing Admin"/>
              <i n="[Employees_Clean].[Department].&amp;[Marketing]" c="Marketing"/>
              <i n="[Employees_Clean].[Department].&amp;[Product Development]" c="Product Development"/>
              <i n="[Employees_Clean].[Department].&amp;[Professional Training Group]" c="Professional Training Group"/>
              <i n="[Employees_Clean].[Department].&amp;[Quality Assurance]" c="Quality Assurance"/>
              <i n="[Employees_Clean].[Department].&amp;[Quality Control]" c="Quality Control"/>
              <i n="[Employees_Clean].[Department].&amp;[Research Center]" c="Research Center"/>
              <i n="[Employees_Clean].[Department].&amp;[Research/Development]" c="Research/Development"/>
              <i n="[Employees_Clean].[Department].&amp;[Sales]" c="Sales"/>
              <i n="[Employees_Clean].[Department].&amp;[Training]" c="Training"/>
            </range>
          </ranges>
        </level>
      </levels>
      <selections count="1">
        <selection n="[Employees_Clean].[Department].[All]"/>
      </selections>
    </olap>
  </data>
  <extLst>
    <x:ext xmlns:x15="http://schemas.microsoft.com/office/spreadsheetml/2010/11/main" uri="{03082B11-2C62-411c-B77F-237D8FCFBE4C}">
      <x15:slicerCachePivotTables>
        <pivotTable tabId="4294967295" name="PivotChartTable1"/>
        <pivotTable tabId="4294967295" name="PivotChartTable10"/>
        <pivotTable tabId="4294967295" name="PivotChartTable9"/>
        <pivotTable tabId="4294967295" name="PivotChartTable8"/>
        <pivotTable tabId="4294967295" name="PivotChartTable7"/>
        <pivotTable tabId="4294967295" name="PivotChartTable6"/>
        <pivotTable tabId="4294967295" name="PivotChartTable4"/>
        <pivotTable tabId="4294967295" name="PivotChartTable3"/>
        <pivotTable tabId="4294967295" name="PivotChartTable2"/>
        <pivotTable tabId="4294967295" name="PivotChartTable15"/>
        <pivotTable tabId="4294967295" name="PivotChartTable17"/>
        <pivotTable tabId="4294967295" name="PivotChartTable20"/>
        <pivotTable tabId="4294967295" name="PivotChartTable21"/>
        <pivotTable tabId="4294967295" name="PivotChartTable22"/>
        <pivotTable tabId="4294967295" name="PivotChartTable13"/>
        <pivotTable tabId="4294967295" name="PivotChartTable16"/>
        <pivotTable tabId="4294967295" name="PivotChartTable18"/>
        <pivotTable tabId="4294967295" name="PivotChartTable19"/>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5143065-6508-4C43-868D-EA14A81707CF}" sourceName="[Employees_Clean].[Country]">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8"/>
    <pivotTable tabId="3" name="PivotTable2"/>
    <pivotTable tabId="3" name="PivotTable22"/>
    <pivotTable tabId="3" name="PivotTable3"/>
    <pivotTable tabId="3" name="PivotTable4"/>
    <pivotTable tabId="3" name="PivotTable5"/>
    <pivotTable tabId="3" name="PivotTable6"/>
    <pivotTable tabId="3" name="PivotTable7"/>
    <pivotTable tabId="3" name="PivotTable8"/>
  </pivotTables>
  <data>
    <olap pivotCacheId="1012364842">
      <levels count="2">
        <level uniqueName="[Employees_Clean].[Country].[(All)]" sourceCaption="(All)" count="0"/>
        <level uniqueName="[Employees_Clean].[Country].[Country]" sourceCaption="Country" count="5">
          <ranges>
            <range startItem="0">
              <i n="[Employees_Clean].[Country].&amp;[Egypt]" c="Egypt"/>
              <i n="[Employees_Clean].[Country].&amp;[Lebanon]" c="Lebanon"/>
              <i n="[Employees_Clean].[Country].&amp;[Saudi Arabia]" c="Saudi Arabia"/>
              <i n="[Employees_Clean].[Country].&amp;[Syria]" c="Syria"/>
              <i n="[Employees_Clean].[Country].&amp;[United Arab Emirates]" c="United Arab Emirates"/>
            </range>
          </ranges>
        </level>
      </levels>
      <selections count="1">
        <selection n="[Employees_Clean].[Country].[All]"/>
      </selections>
    </olap>
  </data>
  <extLst>
    <x:ext xmlns:x15="http://schemas.microsoft.com/office/spreadsheetml/2010/11/main" uri="{03082B11-2C62-411c-B77F-237D8FCFBE4C}">
      <x15:slicerCachePivotTables>
        <pivotTable tabId="4294967295" name="PivotChartTable1"/>
        <pivotTable tabId="4294967295" name="PivotChartTable10"/>
        <pivotTable tabId="4294967295" name="PivotChartTable9"/>
        <pivotTable tabId="4294967295" name="PivotChartTable8"/>
        <pivotTable tabId="4294967295" name="PivotChartTable7"/>
        <pivotTable tabId="4294967295" name="PivotChartTable6"/>
        <pivotTable tabId="4294967295" name="PivotChartTable4"/>
        <pivotTable tabId="4294967295" name="PivotChartTable3"/>
        <pivotTable tabId="4294967295" name="PivotChartTable2"/>
        <pivotTable tabId="4294967295" name="PivotChartTable15"/>
        <pivotTable tabId="4294967295" name="PivotChartTable17"/>
        <pivotTable tabId="4294967295" name="PivotChartTable20"/>
        <pivotTable tabId="4294967295" name="PivotChartTable21"/>
        <pivotTable tabId="4294967295" name="PivotChartTable22"/>
        <pivotTable tabId="4294967295" name="PivotChartTable13"/>
        <pivotTable tabId="4294967295" name="PivotChartTable16"/>
        <pivotTable tabId="4294967295" name="PivotChartTable18"/>
        <pivotTable tabId="4294967295" name="PivotChartTable19"/>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544D57C-1BA1-4E1E-A3C5-0DEA3BC94B13}" sourceName="[Employees_Clean].[Gender]">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8"/>
    <pivotTable tabId="3" name="PivotTable2"/>
    <pivotTable tabId="3" name="PivotTable22"/>
    <pivotTable tabId="3" name="PivotTable3"/>
    <pivotTable tabId="3" name="PivotTable4"/>
    <pivotTable tabId="3" name="PivotTable5"/>
    <pivotTable tabId="3" name="PivotTable6"/>
    <pivotTable tabId="3" name="PivotTable7"/>
    <pivotTable tabId="3" name="PivotTable8"/>
  </pivotTables>
  <data>
    <olap pivotCacheId="1012364842">
      <levels count="2">
        <level uniqueName="[Employees_Clean].[Gender].[(All)]" sourceCaption="(All)" count="0"/>
        <level uniqueName="[Employees_Clean].[Gender].[Gender]" sourceCaption="Gender" count="2">
          <ranges>
            <range startItem="0">
              <i n="[Employees_Clean].[Gender].&amp;[Female]" c="Female"/>
              <i n="[Employees_Clean].[Gender].&amp;[Male]" c="Male"/>
            </range>
          </ranges>
        </level>
      </levels>
      <selections count="1">
        <selection n="[Employees_Clean].[Gender].[All]"/>
      </selections>
    </olap>
  </data>
  <extLst>
    <x:ext xmlns:x15="http://schemas.microsoft.com/office/spreadsheetml/2010/11/main" uri="{03082B11-2C62-411c-B77F-237D8FCFBE4C}">
      <x15:slicerCachePivotTables>
        <pivotTable tabId="4294967295" name="PivotChartTable1"/>
        <pivotTable tabId="4294967295" name="PivotChartTable10"/>
        <pivotTable tabId="4294967295" name="PivotChartTable9"/>
        <pivotTable tabId="4294967295" name="PivotChartTable8"/>
        <pivotTable tabId="4294967295" name="PivotChartTable7"/>
        <pivotTable tabId="4294967295" name="PivotChartTable6"/>
        <pivotTable tabId="4294967295" name="PivotChartTable4"/>
        <pivotTable tabId="4294967295" name="PivotChartTable3"/>
        <pivotTable tabId="4294967295" name="PivotChartTable2"/>
        <pivotTable tabId="4294967295" name="PivotChartTable15"/>
        <pivotTable tabId="4294967295" name="PivotChartTable17"/>
        <pivotTable tabId="4294967295" name="PivotChartTable20"/>
        <pivotTable tabId="4294967295" name="PivotChartTable21"/>
        <pivotTable tabId="4294967295" name="PivotChartTable22"/>
        <pivotTable tabId="4294967295" name="PivotChartTable13"/>
        <pivotTable tabId="4294967295" name="PivotChartTable16"/>
        <pivotTable tabId="4294967295" name="PivotChartTable18"/>
        <pivotTable tabId="4294967295" name="PivotChartTable19"/>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Classification" xr10:uid="{8258B041-F475-407A-B14F-C8C85653105D}" sourceName="[Employees_Clean].[Salary Classification]">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8"/>
    <pivotTable tabId="3" name="PivotTable2"/>
    <pivotTable tabId="3" name="PivotTable22"/>
    <pivotTable tabId="3" name="PivotTable3"/>
    <pivotTable tabId="3" name="PivotTable4"/>
    <pivotTable tabId="3" name="PivotTable5"/>
    <pivotTable tabId="3" name="PivotTable6"/>
    <pivotTable tabId="3" name="PivotTable7"/>
    <pivotTable tabId="3" name="PivotTable8"/>
  </pivotTables>
  <data>
    <olap pivotCacheId="1012364842">
      <levels count="2">
        <level uniqueName="[Employees_Clean].[Salary Classification].[(All)]" sourceCaption="(All)" count="0"/>
        <level uniqueName="[Employees_Clean].[Salary Classification].[Salary Classification]" sourceCaption="Salary Classification" count="3">
          <ranges>
            <range startItem="0">
              <i n="[Employees_Clean].[Salary Classification].&amp;[High]" c="High"/>
              <i n="[Employees_Clean].[Salary Classification].&amp;[Low]" c="Low"/>
              <i n="[Employees_Clean].[Salary Classification].&amp;[Medium]" c="Medium"/>
            </range>
          </ranges>
        </level>
      </levels>
      <selections count="1">
        <selection n="[Employees_Clean].[Salary Classification].[All]"/>
      </selections>
    </olap>
  </data>
  <extLst>
    <x:ext xmlns:x15="http://schemas.microsoft.com/office/spreadsheetml/2010/11/main" uri="{03082B11-2C62-411c-B77F-237D8FCFBE4C}">
      <x15:slicerCachePivotTables>
        <pivotTable tabId="4294967295" name="PivotChartTable1"/>
        <pivotTable tabId="4294967295" name="PivotChartTable10"/>
        <pivotTable tabId="4294967295" name="PivotChartTable9"/>
        <pivotTable tabId="4294967295" name="PivotChartTable8"/>
        <pivotTable tabId="4294967295" name="PivotChartTable7"/>
        <pivotTable tabId="4294967295" name="PivotChartTable6"/>
        <pivotTable tabId="4294967295" name="PivotChartTable4"/>
        <pivotTable tabId="4294967295" name="PivotChartTable3"/>
        <pivotTable tabId="4294967295" name="PivotChartTable2"/>
        <pivotTable tabId="4294967295" name="PivotChartTable15"/>
        <pivotTable tabId="4294967295" name="PivotChartTable17"/>
        <pivotTable tabId="4294967295" name="PivotChartTable20"/>
        <pivotTable tabId="4294967295" name="PivotChartTable21"/>
        <pivotTable tabId="4294967295" name="PivotChartTable22"/>
        <pivotTable tabId="4294967295" name="PivotChartTable13"/>
        <pivotTable tabId="4294967295" name="PivotChartTable16"/>
        <pivotTable tabId="4294967295" name="PivotChartTable18"/>
        <pivotTable tabId="4294967295" name="PivotChartTable19"/>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Date__Year" xr10:uid="{EF24C3BF-C663-401D-A23F-F122D0D077FE}" sourceName="[Employees_Clean].[Start Date (Year)]">
  <pivotTables>
    <pivotTable tabId="3" name="PivotTable1"/>
    <pivotTable tabId="3" name="PivotTable10"/>
    <pivotTable tabId="3" name="PivotTable12"/>
    <pivotTable tabId="3" name="PivotTable13"/>
    <pivotTable tabId="3" name="PivotTable14"/>
    <pivotTable tabId="3" name="PivotTable15"/>
    <pivotTable tabId="3" name="PivotTable16"/>
    <pivotTable tabId="3" name="PivotTable18"/>
    <pivotTable tabId="3" name="PivotTable2"/>
    <pivotTable tabId="3" name="PivotTable22"/>
    <pivotTable tabId="3" name="PivotTable3"/>
    <pivotTable tabId="3" name="PivotTable4"/>
    <pivotTable tabId="3" name="PivotTable5"/>
    <pivotTable tabId="3" name="PivotTable6"/>
    <pivotTable tabId="3" name="PivotTable7"/>
    <pivotTable tabId="3" name="PivotTable8"/>
  </pivotTables>
  <data>
    <olap pivotCacheId="1012364842">
      <levels count="2">
        <level uniqueName="[Employees_Clean].[Start Date (Year)].[(All)]" sourceCaption="(All)" count="0"/>
        <level uniqueName="[Employees_Clean].[Start Date (Year)].[Start Date (Year)]" sourceCaption="Start Date (Year)" count="5">
          <ranges>
            <range startItem="0">
              <i n="[Employees_Clean].[Start Date (Year)].&amp;[2016]" c="2016"/>
              <i n="[Employees_Clean].[Start Date (Year)].&amp;[2017]" c="2017"/>
              <i n="[Employees_Clean].[Start Date (Year)].&amp;[2018]" c="2018"/>
              <i n="[Employees_Clean].[Start Date (Year)].&amp;[2019]" c="2019"/>
              <i n="[Employees_Clean].[Start Date (Year)].&amp;[2020]" c="2020"/>
            </range>
          </ranges>
        </level>
      </levels>
      <selections count="1">
        <selection n="[Employees_Clean].[Start Date (Year)].[All]"/>
      </selections>
    </olap>
  </data>
  <extLst>
    <x:ext xmlns:x15="http://schemas.microsoft.com/office/spreadsheetml/2010/11/main" uri="{03082B11-2C62-411c-B77F-237D8FCFBE4C}">
      <x15:slicerCachePivotTables>
        <pivotTable tabId="4294967295" name="PivotChartTable1"/>
        <pivotTable tabId="4294967295" name="PivotChartTable10"/>
        <pivotTable tabId="4294967295" name="PivotChartTable9"/>
        <pivotTable tabId="4294967295" name="PivotChartTable8"/>
        <pivotTable tabId="4294967295" name="PivotChartTable7"/>
        <pivotTable tabId="4294967295" name="PivotChartTable6"/>
        <pivotTable tabId="4294967295" name="PivotChartTable4"/>
        <pivotTable tabId="4294967295" name="PivotChartTable3"/>
        <pivotTable tabId="4294967295" name="PivotChartTable2"/>
        <pivotTable tabId="4294967295" name="PivotChartTable15"/>
        <pivotTable tabId="4294967295" name="PivotChartTable17"/>
        <pivotTable tabId="4294967295" name="PivotChartTable20"/>
        <pivotTable tabId="4294967295" name="PivotChartTable21"/>
        <pivotTable tabId="4294967295" name="PivotChartTable22"/>
        <pivotTable tabId="4294967295" name="PivotChartTable13"/>
        <pivotTable tabId="4294967295" name="PivotChartTable16"/>
        <pivotTable tabId="4294967295" name="PivotChartTable18"/>
        <pivotTable tabId="4294967295" name="PivotChartTable19"/>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ate_Category" xr10:uid="{A6DBCB2F-44C7-431A-A441-FB0FB62F3364}" sourceName="[Employees_Clean].[Job Rate Category]">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8"/>
    <pivotTable tabId="3" name="PivotTable2"/>
    <pivotTable tabId="3" name="PivotTable22"/>
    <pivotTable tabId="3" name="PivotTable3"/>
    <pivotTable tabId="3" name="PivotTable4"/>
    <pivotTable tabId="3" name="PivotTable5"/>
    <pivotTable tabId="3" name="PivotTable6"/>
    <pivotTable tabId="3" name="PivotTable7"/>
    <pivotTable tabId="3" name="PivotTable8"/>
  </pivotTables>
  <data>
    <olap pivotCacheId="1012364842">
      <levels count="2">
        <level uniqueName="[Employees_Clean].[Job Rate Category].[(All)]" sourceCaption="(All)" count="0"/>
        <level uniqueName="[Employees_Clean].[Job Rate Category].[Job Rate Category]" sourceCaption="Job Rate Category" count="3">
          <ranges>
            <range startItem="0">
              <i n="[Employees_Clean].[Job Rate Category].&amp;[High]" c="High"/>
              <i n="[Employees_Clean].[Job Rate Category].&amp;[Low]" c="Low"/>
              <i n="[Employees_Clean].[Job Rate Category].&amp;[Medium]" c="Medium"/>
            </range>
          </ranges>
        </level>
      </levels>
      <selections count="1">
        <selection n="[Employees_Clean].[Job Rate Category].[All]"/>
      </selections>
    </olap>
  </data>
  <extLst>
    <x:ext xmlns:x15="http://schemas.microsoft.com/office/spreadsheetml/2010/11/main" uri="{03082B11-2C62-411c-B77F-237D8FCFBE4C}">
      <x15:slicerCachePivotTables>
        <pivotTable tabId="4294967295" name="PivotChartTable1"/>
        <pivotTable tabId="4294967295" name="PivotChartTable10"/>
        <pivotTable tabId="4294967295" name="PivotChartTable9"/>
        <pivotTable tabId="4294967295" name="PivotChartTable8"/>
        <pivotTable tabId="4294967295" name="PivotChartTable6"/>
        <pivotTable tabId="4294967295" name="PivotChartTable4"/>
        <pivotTable tabId="4294967295" name="PivotChartTable3"/>
        <pivotTable tabId="4294967295" name="PivotChartTable2"/>
        <pivotTable tabId="4294967295" name="PivotChartTable15"/>
        <pivotTable tabId="4294967295" name="PivotChartTable17"/>
        <pivotTable tabId="4294967295" name="PivotChartTable20"/>
        <pivotTable tabId="4294967295" name="PivotChartTable21"/>
        <pivotTable tabId="4294967295" name="PivotChartTable22"/>
        <pivotTable tabId="4294967295" name="PivotChartTable13"/>
        <pivotTable tabId="4294967295" name="PivotChartTable16"/>
        <pivotTable tabId="4294967295" name="PivotChartTable18"/>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Group" xr10:uid="{E153366A-4B05-45ED-8779-31A704DF4ACD}" sourceName="[Employees_Clean].[Experience Group]">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8"/>
    <pivotTable tabId="3" name="PivotTable2"/>
    <pivotTable tabId="3" name="PivotTable22"/>
    <pivotTable tabId="3" name="PivotTable3"/>
    <pivotTable tabId="3" name="PivotTable4"/>
    <pivotTable tabId="3" name="PivotTable5"/>
    <pivotTable tabId="3" name="PivotTable6"/>
    <pivotTable tabId="3" name="PivotTable7"/>
    <pivotTable tabId="3" name="PivotTable8"/>
  </pivotTables>
  <data>
    <olap pivotCacheId="1012364842">
      <levels count="2">
        <level uniqueName="[Employees_Clean].[Experience Group].[(All)]" sourceCaption="(All)" count="0"/>
        <level uniqueName="[Employees_Clean].[Experience Group].[Experience Group]" sourceCaption="Experience Group" count="3">
          <ranges>
            <range startItem="0">
              <i n="[Employees_Clean].[Experience Group].&amp;[5-6 Years]" c="5-6 Years"/>
              <i n="[Employees_Clean].[Experience Group].&amp;[7-8 Years]" c="7-8 Years"/>
              <i n="[Employees_Clean].[Experience Group].&amp;[9-10 Years]" c="9-10 Years"/>
            </range>
          </ranges>
        </level>
      </levels>
      <selections count="1">
        <selection n="[Employees_Clean].[Experience Group].[All]"/>
      </selections>
    </olap>
  </data>
  <extLst>
    <x:ext xmlns:x15="http://schemas.microsoft.com/office/spreadsheetml/2010/11/main" uri="{03082B11-2C62-411c-B77F-237D8FCFBE4C}">
      <x15:slicerCachePivotTables>
        <pivotTable tabId="4294967295" name="PivotChartTable22"/>
        <pivotTable tabId="4294967295" name="PivotChartTable21"/>
        <pivotTable tabId="4294967295" name="PivotChartTable20"/>
        <pivotTable tabId="4294967295" name="PivotChartTable1"/>
        <pivotTable tabId="4294967295" name="PivotChartTable8"/>
        <pivotTable tabId="4294967295" name="PivotChartTable7"/>
        <pivotTable tabId="4294967295" name="PivotChartTable6"/>
        <pivotTable tabId="4294967295" name="PivotChartTable4"/>
        <pivotTable tabId="4294967295" name="PivotChartTable3"/>
        <pivotTable tabId="4294967295" name="PivotChartTable2"/>
        <pivotTable tabId="4294967295" name="PivotChartTable15"/>
        <pivotTable tabId="4294967295" name="PivotChartTable17"/>
        <pivotTable tabId="4294967295" name="PivotChartTable13"/>
        <pivotTable tabId="4294967295" name="PivotChartTable16"/>
        <pivotTable tabId="4294967295" name="PivotChartTable19"/>
      </x15:slicerCachePivotTables>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_Category" xr10:uid="{A669B6B5-8BCB-4A31-811D-FA6778F1C506}" sourceName="[Employees_Clean].[Overtime Category]">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8"/>
    <pivotTable tabId="3" name="PivotTable2"/>
    <pivotTable tabId="3" name="PivotTable22"/>
    <pivotTable tabId="3" name="PivotTable3"/>
    <pivotTable tabId="3" name="PivotTable4"/>
    <pivotTable tabId="3" name="PivotTable5"/>
    <pivotTable tabId="3" name="PivotTable6"/>
    <pivotTable tabId="3" name="PivotTable7"/>
    <pivotTable tabId="3" name="PivotTable8"/>
  </pivotTables>
  <data>
    <olap pivotCacheId="1012364842">
      <levels count="2">
        <level uniqueName="[Employees_Clean].[Overtime Category].[(All)]" sourceCaption="(All)" count="0"/>
        <level uniqueName="[Employees_Clean].[Overtime Category].[Overtime Category]" sourceCaption="Overtime Category" count="3">
          <ranges>
            <range startItem="0">
              <i n="[Employees_Clean].[Overtime Category].&amp;[High Overtime]" c="High Overtime"/>
              <i n="[Employees_Clean].[Overtime Category].&amp;[No Overtime]" c="No Overtime"/>
              <i n="[Employees_Clean].[Overtime Category].&amp;[Normal]" c="Normal"/>
            </range>
          </ranges>
        </level>
      </levels>
      <selections count="1">
        <selection n="[Employees_Clean].[Overtime Category].[All]"/>
      </selections>
    </olap>
  </data>
  <extLst>
    <x:ext xmlns:x15="http://schemas.microsoft.com/office/spreadsheetml/2010/11/main" uri="{03082B11-2C62-411c-B77F-237D8FCFBE4C}">
      <x15:slicerCachePivotTables>
        <pivotTable tabId="4294967295" name="PivotChartTable22"/>
        <pivotTable tabId="4294967295" name="PivotChartTable21"/>
        <pivotTable tabId="4294967295" name="PivotChartTable20"/>
        <pivotTable tabId="4294967295" name="PivotChartTable1"/>
        <pivotTable tabId="4294967295" name="PivotChartTable10"/>
        <pivotTable tabId="4294967295" name="PivotChartTable9"/>
        <pivotTable tabId="4294967295" name="PivotChartTable7"/>
        <pivotTable tabId="4294967295" name="PivotChartTable6"/>
        <pivotTable tabId="4294967295" name="PivotChartTable4"/>
        <pivotTable tabId="4294967295" name="PivotChartTable3"/>
        <pivotTable tabId="4294967295" name="PivotChartTable2"/>
        <pivotTable tabId="4294967295" name="PivotChartTable15"/>
        <pivotTable tabId="4294967295" name="PivotChartTable17"/>
        <pivotTable tabId="4294967295" name="PivotChartTable8"/>
        <pivotTable tabId="4294967295" name="PivotChartTable13"/>
        <pivotTable tabId="4294967295" name="PivotChartTable16"/>
        <pivotTable tabId="4294967295" name="PivotChartTable18"/>
        <pivotTable tabId="4294967295" name="PivotChartTable19"/>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9F986F0-1ECD-4BA5-93D8-44A816CB73E4}" cache="Slicer_Gender" caption="Gender" columnCount="2" level="1" style="SlicerStyleLight3 2 2" rowHeight="260350"/>
  <slicer name="Salary Classification 1" xr10:uid="{7DBABA71-40B9-400F-94AF-CE5BE0107032}" cache="Slicer_Salary_Classification" caption="Salary Classification" level="1" style="SlicerStyleLight3 2" rowHeight="260350"/>
  <slicer name="Job Rate Category 1" xr10:uid="{75B83CBF-CA3E-4DC3-9990-25F5E3CCFCF5}" cache="Slicer_Job_Rate_Category" caption="Job Rate Category" level="1" style="SlicerStyleLight3 2" rowHeight="260350"/>
  <slicer name="Experience Group 3" xr10:uid="{17EB2832-ED9F-45A3-9026-F042F9C77459}" cache="Slicer_Experience_Group" caption="Experience Group" level="1" style="SlicerStyleLight3 2" rowHeight="260350"/>
  <slicer name="Overtime Category 1" xr10:uid="{D1CA0189-41E8-4C19-8B96-3589E84C608E}" cache="Slicer_Overtime_Category" caption="Overtime Category" level="1" style="SlicerStyleLight3 2"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5" xr10:uid="{851185EE-6893-4DCD-8C12-06F3761A96E6}" cache="Slicer_Department" caption="Department" startItem="3" level="1" style="SlicerStyleLight3 2" rowHeight="274320"/>
  <slicer name="Country 1" xr10:uid="{82A178F5-6B06-4DC6-9C0F-37D808276573}" cache="Slicer_Country" caption="Country" level="1" style="SlicerStyleLight3 2" rowHeight="260350"/>
  <slicer name="Gender 1" xr10:uid="{1DAF5935-0FE4-4F4D-9056-A061A71B79E0}" cache="Slicer_Gender" caption="Gender" columnCount="2" level="1" style="SlicerStyleLight3 2 2" rowHeight="260350"/>
  <slicer name="Salary Classification 2" xr10:uid="{F72AD409-3B42-4F74-966B-20D20ED446A6}" cache="Slicer_Salary_Classification" caption="Salary Classification" level="1" style="SlicerStyleLight3 2" rowHeight="260350"/>
  <slicer name="Experience Group 2" xr10:uid="{51CA68B4-2F4B-4E8E-8F89-99D9E44E811F}" cache="Slicer_Experience_Group" caption="Experience Group" level="1" style="SlicerStyleLight3 2"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29662333-8A73-4320-A8ED-1CDF9F01E792}" cache="Slicer_Department" caption="Department" startItem="3" level="1" style="SlicerStyleLight3 2" rowHeight="274320"/>
  <slicer name="Country 3" xr10:uid="{FCFD9265-4479-4856-80A0-635FE148F07B}" cache="Slicer_Country" caption="Country" level="1" style="SlicerStyleLight3 2" rowHeight="274320"/>
  <slicer name="Gender 3" xr10:uid="{631423FD-DF30-4197-82EB-A32A6ABDE9F0}" cache="Slicer_Gender" caption="Gender" columnCount="2" level="1" style="SlicerStyleLight3 2 2" rowHeight="274320"/>
  <slicer name="Job Rate Category 2" xr10:uid="{8CEFFBA9-5DB4-4452-9793-DBBCC7AF0F80}" cache="Slicer_Job_Rate_Category" caption="Job Rate Category" level="1" style="SlicerStyleLight3 2"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D9847A6-F6DE-4712-9B1D-00E83AF3A9FC}" cache="Slicer_Department" caption="Department" level="1" rowHeight="260350"/>
  <slicer name="Country" xr10:uid="{BABB4DDF-629B-4D7A-845D-B251E9301799}" cache="Slicer_Country" caption="Country" level="1" rowHeight="260350"/>
  <slicer name="Gender" xr10:uid="{EC0680E2-BBA4-4E74-A909-DACAFB325F32}" cache="Slicer_Gender" caption="Gender" level="1" rowHeight="260350"/>
  <slicer name="Salary Classification" xr10:uid="{45AFD530-C9F0-4E45-8348-CAAA12952530}" cache="Slicer_Salary_Classification" caption="Salary Classification" level="1" rowHeight="260350"/>
  <slicer name="Start Date (Year)" xr10:uid="{85FB4B33-5C32-4A4B-B879-27154D242F9F}" cache="Slicer_Start_Date__Year" caption="Start Date (Year)" level="1" rowHeight="260350"/>
  <slicer name="Job Rate Category" xr10:uid="{89C7FBCC-5239-4F76-B55F-8A43DF575C50}" cache="Slicer_Job_Rate_Category" caption="Job Rate Category" level="1" rowHeight="260350"/>
  <slicer name="Experience Group" xr10:uid="{E4C2B8FF-4CC4-41BA-B392-97FC414AD231}" cache="Slicer_Experience_Group" caption="Experience Group" level="1" rowHeight="260350"/>
  <slicer name="Overtime Category" xr10:uid="{C7E2ACE6-BFBB-4CE0-ADD5-6CF625CD1CB3}" cache="Slicer_Overtime_Category" caption="Overtime Category" level="1"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14C64B-B4D6-4DE0-AFF2-74E98349148A}" name="Employees_Clean" displayName="Employees_Clean" ref="A1:V690" tableType="queryTable" totalsRowShown="0">
  <autoFilter ref="A1:V690" xr:uid="{5614C64B-B4D6-4DE0-AFF2-74E98349148A}"/>
  <tableColumns count="22">
    <tableColumn id="1" xr3:uid="{9B4F9496-2D0E-4072-9FA8-5844C8B3FD18}" uniqueName="1" name="No" queryTableFieldId="1"/>
    <tableColumn id="2" xr3:uid="{EBCCD89F-668B-48F7-B57F-B91FF89CB4DF}" uniqueName="2" name="First Name" queryTableFieldId="2" dataDxfId="48"/>
    <tableColumn id="3" xr3:uid="{01679877-F4D0-4A7D-84FB-56F37A7A78A1}" uniqueName="3" name="Last Name" queryTableFieldId="3" dataDxfId="47"/>
    <tableColumn id="4" xr3:uid="{04CB1668-537E-4A1C-9E99-966B14D784CB}" uniqueName="4" name="Full Name" queryTableFieldId="4" dataDxfId="46"/>
    <tableColumn id="5" xr3:uid="{F104D76C-4C83-40D5-A519-30757F5B3ACF}" uniqueName="5" name="Gender" queryTableFieldId="5" dataDxfId="45"/>
    <tableColumn id="6" xr3:uid="{66F2B036-4475-43FD-B285-013E3B21E439}" uniqueName="6" name="Start Date" queryTableFieldId="6" dataDxfId="44"/>
    <tableColumn id="7" xr3:uid="{13E96742-E39A-4F23-8AB1-DAE2CCF36A6F}" uniqueName="7" name="Years" queryTableFieldId="7"/>
    <tableColumn id="8" xr3:uid="{0710FA51-7F2B-429A-A0C4-043DCA40FF46}" uniqueName="8" name="Experience Group" queryTableFieldId="8" dataDxfId="43"/>
    <tableColumn id="9" xr3:uid="{38F7EAD2-3D30-45CC-B49D-D880D8A036A8}" uniqueName="9" name="Department" queryTableFieldId="9" dataDxfId="42"/>
    <tableColumn id="10" xr3:uid="{F6CA65F9-B4DC-4350-82F4-0979FC214060}" uniqueName="10" name="Country" queryTableFieldId="10" dataDxfId="41"/>
    <tableColumn id="11" xr3:uid="{44002B83-C3CA-4A2F-88DB-00FB33FCA248}" uniqueName="11" name="Center" queryTableFieldId="11" dataDxfId="40"/>
    <tableColumn id="12" xr3:uid="{AD6AE4D8-002D-45DE-ADBD-BB9058566FFB}" uniqueName="12" name="Monthly Salary" queryTableFieldId="12"/>
    <tableColumn id="13" xr3:uid="{B5A3B736-9601-4DDE-9833-AE3D300D3830}" uniqueName="13" name="Salary Classification" queryTableFieldId="13" dataDxfId="39"/>
    <tableColumn id="14" xr3:uid="{AFBF9B12-4F70-4944-8841-407E6C824A99}" uniqueName="14" name="Annual Salary" queryTableFieldId="14"/>
    <tableColumn id="15" xr3:uid="{949573F7-A25B-460E-B749-C3CFA0CC03DB}" uniqueName="15" name="Salary per Experience" queryTableFieldId="15"/>
    <tableColumn id="16" xr3:uid="{BB684824-44B4-4AC2-B17C-6D38EC965F7F}" uniqueName="16" name="Job Rate" queryTableFieldId="16"/>
    <tableColumn id="17" xr3:uid="{4ADEB7D7-B824-4039-A6BA-30A3BAAF1C8C}" uniqueName="17" name="Job Rate Category" queryTableFieldId="17" dataDxfId="38"/>
    <tableColumn id="18" xr3:uid="{C573FA94-182D-41A2-80B7-30ACAD765D3C}" uniqueName="18" name="Sick Leaves" queryTableFieldId="18"/>
    <tableColumn id="19" xr3:uid="{8448BA57-B688-4DE6-9F58-2EEA63D7A8A5}" uniqueName="19" name="Unpaid Leaves" queryTableFieldId="19"/>
    <tableColumn id="20" xr3:uid="{297B7CBB-14A3-4F87-AC1B-0BA22877F223}" uniqueName="20" name="Leave Category" queryTableFieldId="20" dataDxfId="37"/>
    <tableColumn id="21" xr3:uid="{37FF95ED-3D17-4F67-94A4-0483A5B22460}" uniqueName="21" name="Overtime Hours" queryTableFieldId="21"/>
    <tableColumn id="22" xr3:uid="{A6D52AEC-BC41-4DDD-8BC2-04E591E2FBF5}" uniqueName="22" name="Overtime Category" queryTableFieldId="22"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C8A4C-7242-234C-83AB-9FD3B51B58AF}" name="EmpTable" displayName="EmpTable" ref="A1:O690" totalsRowShown="0">
  <autoFilter ref="A1:O690" xr:uid="{F0BB8BD9-6B21-9241-BFB1-43DF95574CE6}"/>
  <tableColumns count="15">
    <tableColumn id="1" xr3:uid="{5E31E93A-4EA6-E345-8950-8B5E4A2187D2}" name="No"/>
    <tableColumn id="2" xr3:uid="{02D748DA-BEDD-D64D-8FDF-FA0EE538A622}" name="First Name"/>
    <tableColumn id="3" xr3:uid="{23F60127-C110-4642-8435-EA4863B156A3}" name="Last Name"/>
    <tableColumn id="4" xr3:uid="{CCDFDBE7-00A9-F146-8F92-0D1EE7741E79}" name="Gender"/>
    <tableColumn id="5" xr3:uid="{6CAC73C9-3F05-2941-A60F-90AAFD89CF78}" name="Start Date" dataDxfId="35"/>
    <tableColumn id="16" xr3:uid="{A8E83AF7-43E0-794D-B44C-A99657E843DB}" name="Years" dataDxfId="34">
      <calculatedColumnFormula>DATEDIF(EmpTable[[#This Row],[Start Date]],TODAY(),"Y")</calculatedColumnFormula>
    </tableColumn>
    <tableColumn id="6" xr3:uid="{811C62B1-4966-2548-AA9A-36C50EE72FE1}" name="Department"/>
    <tableColumn id="9" xr3:uid="{5BDE0214-F5F8-CA43-B8E2-E3BED8BEC550}" name="Country" dataDxfId="33"/>
    <tableColumn id="7" xr3:uid="{2FDF82E5-F90E-A044-ABF0-1AB8B296FF1A}" name="Center"/>
    <tableColumn id="10" xr3:uid="{B5E8A300-4AD6-8244-B7BE-F2676388D695}" name="Monthly Salary" dataDxfId="32"/>
    <tableColumn id="15" xr3:uid="{6A00BC87-9264-6D4D-8574-7F80C9324BC9}" name="Annual Salary" dataDxfId="31"/>
    <tableColumn id="11" xr3:uid="{19FE5E57-EF01-384E-9F01-5ECD37CA0BED}" name="Job Rate" dataDxfId="30"/>
    <tableColumn id="12" xr3:uid="{AA6D8968-E3CA-4E4B-8119-22CC6B35AB93}" name="Sick Leaves" dataDxfId="29"/>
    <tableColumn id="13" xr3:uid="{66C613C7-C63C-CB44-95F3-35E932A4DC90}" name="Unpaid Leaves" dataDxfId="28"/>
    <tableColumn id="14" xr3:uid="{E402E1CE-B630-C245-8E66-ABCBD1AE7632}" name="Overtime Hours" dataDxfId="2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6.xml"/><Relationship Id="rId13" Type="http://schemas.openxmlformats.org/officeDocument/2006/relationships/pivotTable" Target="../pivotTables/pivotTable31.xml"/><Relationship Id="rId18" Type="http://schemas.openxmlformats.org/officeDocument/2006/relationships/drawing" Target="../drawings/drawing4.xml"/><Relationship Id="rId3" Type="http://schemas.openxmlformats.org/officeDocument/2006/relationships/pivotTable" Target="../pivotTables/pivotTable21.xml"/><Relationship Id="rId7" Type="http://schemas.openxmlformats.org/officeDocument/2006/relationships/pivotTable" Target="../pivotTables/pivotTable25.xml"/><Relationship Id="rId12" Type="http://schemas.openxmlformats.org/officeDocument/2006/relationships/pivotTable" Target="../pivotTables/pivotTable30.xml"/><Relationship Id="rId17" Type="http://schemas.openxmlformats.org/officeDocument/2006/relationships/pivotTable" Target="../pivotTables/pivotTable35.xml"/><Relationship Id="rId2" Type="http://schemas.openxmlformats.org/officeDocument/2006/relationships/pivotTable" Target="../pivotTables/pivotTable20.xml"/><Relationship Id="rId16" Type="http://schemas.openxmlformats.org/officeDocument/2006/relationships/pivotTable" Target="../pivotTables/pivotTable34.xml"/><Relationship Id="rId1" Type="http://schemas.openxmlformats.org/officeDocument/2006/relationships/pivotTable" Target="../pivotTables/pivotTable19.xml"/><Relationship Id="rId6" Type="http://schemas.openxmlformats.org/officeDocument/2006/relationships/pivotTable" Target="../pivotTables/pivotTable24.xml"/><Relationship Id="rId11" Type="http://schemas.openxmlformats.org/officeDocument/2006/relationships/pivotTable" Target="../pivotTables/pivotTable29.xml"/><Relationship Id="rId5" Type="http://schemas.openxmlformats.org/officeDocument/2006/relationships/pivotTable" Target="../pivotTables/pivotTable23.xml"/><Relationship Id="rId15" Type="http://schemas.openxmlformats.org/officeDocument/2006/relationships/pivotTable" Target="../pivotTables/pivotTable33.xml"/><Relationship Id="rId10" Type="http://schemas.openxmlformats.org/officeDocument/2006/relationships/pivotTable" Target="../pivotTables/pivotTable28.xml"/><Relationship Id="rId19" Type="http://schemas.microsoft.com/office/2007/relationships/slicer" Target="../slicers/slicer4.xml"/><Relationship Id="rId4" Type="http://schemas.openxmlformats.org/officeDocument/2006/relationships/pivotTable" Target="../pivotTables/pivotTable22.xml"/><Relationship Id="rId9" Type="http://schemas.openxmlformats.org/officeDocument/2006/relationships/pivotTable" Target="../pivotTables/pivotTable27.xml"/><Relationship Id="rId14" Type="http://schemas.openxmlformats.org/officeDocument/2006/relationships/pivotTable" Target="../pivotTables/pivotTable3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5473-D54D-40AD-8644-40FE1C174139}">
  <dimension ref="A1"/>
  <sheetViews>
    <sheetView showGridLines="0" zoomScale="81" zoomScaleNormal="77" workbookViewId="0">
      <selection activeCell="W41" sqref="W41"/>
    </sheetView>
  </sheetViews>
  <sheetFormatPr defaultRowHeight="15.6" x14ac:dyDescent="0.3"/>
  <cols>
    <col min="1" max="16384" width="8.796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0E57-C783-4BBF-AA28-965CE6A818A8}">
  <dimension ref="A1"/>
  <sheetViews>
    <sheetView showGridLines="0" zoomScale="81" zoomScaleNormal="77" workbookViewId="0">
      <selection activeCell="O37" sqref="O37"/>
    </sheetView>
  </sheetViews>
  <sheetFormatPr defaultRowHeight="15.6" x14ac:dyDescent="0.3"/>
  <cols>
    <col min="1" max="16384" width="8.796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5FB18-F8CE-44F3-9366-D6D3267A6757}">
  <dimension ref="A1"/>
  <sheetViews>
    <sheetView showGridLines="0" tabSelected="1" zoomScale="79" zoomScaleNormal="77" workbookViewId="0">
      <selection activeCell="V44" sqref="V44"/>
    </sheetView>
  </sheetViews>
  <sheetFormatPr defaultRowHeight="15.6" x14ac:dyDescent="0.3"/>
  <cols>
    <col min="1" max="16384" width="8.796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4005-3F57-4FAB-B186-FFCCE1D318EA}">
  <dimension ref="A2:J188"/>
  <sheetViews>
    <sheetView zoomScale="90" zoomScaleNormal="100" workbookViewId="0">
      <selection activeCell="E8" sqref="E8"/>
    </sheetView>
  </sheetViews>
  <sheetFormatPr defaultRowHeight="15.6" x14ac:dyDescent="0.3"/>
  <cols>
    <col min="1" max="1" width="25.5" bestFit="1" customWidth="1"/>
    <col min="2" max="2" width="14.8984375" bestFit="1" customWidth="1"/>
    <col min="3" max="3" width="21.3984375" bestFit="1" customWidth="1"/>
    <col min="4" max="4" width="15.5" bestFit="1" customWidth="1"/>
    <col min="5" max="5" width="24" bestFit="1" customWidth="1"/>
    <col min="6" max="6" width="10" bestFit="1" customWidth="1"/>
    <col min="7" max="7" width="17.69921875" bestFit="1" customWidth="1"/>
    <col min="8" max="9" width="8.8984375" bestFit="1" customWidth="1"/>
    <col min="10" max="10" width="15.5" bestFit="1" customWidth="1"/>
    <col min="11" max="11" width="10" bestFit="1" customWidth="1"/>
    <col min="12" max="14" width="8.8984375" bestFit="1" customWidth="1"/>
    <col min="15" max="16" width="10" bestFit="1" customWidth="1"/>
    <col min="17" max="17" width="8.8984375" bestFit="1" customWidth="1"/>
    <col min="18" max="21" width="10" bestFit="1" customWidth="1"/>
    <col min="22" max="22" width="8.8984375" bestFit="1" customWidth="1"/>
    <col min="23" max="25" width="10" bestFit="1" customWidth="1"/>
    <col min="26" max="27" width="8.8984375" bestFit="1" customWidth="1"/>
    <col min="28" max="30" width="10" bestFit="1" customWidth="1"/>
    <col min="31" max="31" width="8.8984375" bestFit="1" customWidth="1"/>
    <col min="32" max="38" width="10" bestFit="1" customWidth="1"/>
    <col min="39" max="40" width="11" bestFit="1" customWidth="1"/>
    <col min="41" max="41" width="10" bestFit="1" customWidth="1"/>
    <col min="42" max="50" width="11" bestFit="1" customWidth="1"/>
    <col min="51" max="52" width="8.8984375" bestFit="1" customWidth="1"/>
    <col min="53" max="54" width="10" bestFit="1" customWidth="1"/>
    <col min="55" max="58" width="8.8984375" bestFit="1" customWidth="1"/>
    <col min="59" max="66" width="10" bestFit="1" customWidth="1"/>
    <col min="67" max="67" width="8.8984375" bestFit="1" customWidth="1"/>
    <col min="68" max="69" width="10" bestFit="1" customWidth="1"/>
    <col min="70" max="70" width="8.8984375" bestFit="1" customWidth="1"/>
    <col min="71" max="75" width="10" bestFit="1" customWidth="1"/>
    <col min="76" max="77" width="8.8984375" bestFit="1" customWidth="1"/>
    <col min="78" max="80" width="10" bestFit="1" customWidth="1"/>
    <col min="81" max="81" width="8.8984375" bestFit="1" customWidth="1"/>
    <col min="82" max="96" width="10" bestFit="1" customWidth="1"/>
    <col min="97" max="97" width="8.8984375" bestFit="1" customWidth="1"/>
    <col min="98" max="102" width="10" bestFit="1" customWidth="1"/>
    <col min="103" max="103" width="8.8984375" bestFit="1" customWidth="1"/>
    <col min="104" max="114" width="10" bestFit="1" customWidth="1"/>
    <col min="115" max="115" width="11" bestFit="1" customWidth="1"/>
    <col min="116" max="116" width="10" bestFit="1" customWidth="1"/>
    <col min="117" max="118" width="11" bestFit="1" customWidth="1"/>
    <col min="119" max="119" width="10" bestFit="1" customWidth="1"/>
    <col min="120" max="121" width="11" bestFit="1" customWidth="1"/>
    <col min="122" max="125" width="8.8984375" bestFit="1" customWidth="1"/>
    <col min="126" max="129" width="10" bestFit="1" customWidth="1"/>
    <col min="130" max="132" width="8.8984375" bestFit="1" customWidth="1"/>
    <col min="133" max="139" width="10" bestFit="1" customWidth="1"/>
    <col min="140" max="142" width="8.8984375" bestFit="1" customWidth="1"/>
    <col min="143" max="150" width="10" bestFit="1" customWidth="1"/>
    <col min="151" max="154" width="8.8984375" bestFit="1" customWidth="1"/>
    <col min="155" max="161" width="10" bestFit="1" customWidth="1"/>
    <col min="162" max="164" width="8.8984375" bestFit="1" customWidth="1"/>
    <col min="165" max="175" width="10" bestFit="1" customWidth="1"/>
    <col min="176" max="177" width="8.8984375" bestFit="1" customWidth="1"/>
    <col min="178" max="186" width="10" bestFit="1" customWidth="1"/>
    <col min="187" max="190" width="8.8984375" bestFit="1" customWidth="1"/>
    <col min="191" max="194" width="10" bestFit="1" customWidth="1"/>
    <col min="195" max="196" width="8.8984375" bestFit="1" customWidth="1"/>
    <col min="197" max="200" width="10" bestFit="1" customWidth="1"/>
    <col min="201" max="202" width="8.8984375" bestFit="1" customWidth="1"/>
    <col min="203" max="207" width="10" bestFit="1" customWidth="1"/>
    <col min="208" max="212" width="11" bestFit="1" customWidth="1"/>
    <col min="213" max="215" width="10" bestFit="1" customWidth="1"/>
    <col min="216" max="219" width="11" bestFit="1" customWidth="1"/>
    <col min="220" max="225" width="10" bestFit="1" customWidth="1"/>
    <col min="226" max="231" width="11" bestFit="1" customWidth="1"/>
    <col min="232" max="238" width="8.8984375" bestFit="1" customWidth="1"/>
    <col min="239" max="250" width="10" bestFit="1" customWidth="1"/>
    <col min="251" max="256" width="8.8984375" bestFit="1" customWidth="1"/>
    <col min="257" max="263" width="10" bestFit="1" customWidth="1"/>
    <col min="264" max="268" width="8.8984375" bestFit="1" customWidth="1"/>
    <col min="269" max="278" width="10" bestFit="1" customWidth="1"/>
    <col min="279" max="284" width="8.8984375" bestFit="1" customWidth="1"/>
    <col min="285" max="296" width="10" bestFit="1" customWidth="1"/>
    <col min="297" max="302" width="8.8984375" bestFit="1" customWidth="1"/>
    <col min="303" max="311" width="10" bestFit="1" customWidth="1"/>
    <col min="312" max="315" width="8.8984375" bestFit="1" customWidth="1"/>
    <col min="316" max="320" width="10" bestFit="1" customWidth="1"/>
    <col min="321" max="325" width="8.8984375" bestFit="1" customWidth="1"/>
    <col min="326" max="333" width="10" bestFit="1" customWidth="1"/>
    <col min="334" max="337" width="8.8984375" bestFit="1" customWidth="1"/>
    <col min="338" max="349" width="10" bestFit="1" customWidth="1"/>
    <col min="350" max="351" width="8.8984375" bestFit="1" customWidth="1"/>
    <col min="352" max="367" width="10" bestFit="1" customWidth="1"/>
    <col min="368" max="379" width="11" bestFit="1" customWidth="1"/>
    <col min="380" max="383" width="10" bestFit="1" customWidth="1"/>
    <col min="384" max="395" width="11" bestFit="1" customWidth="1"/>
    <col min="396" max="399" width="10" bestFit="1" customWidth="1"/>
    <col min="400" max="411" width="11" bestFit="1" customWidth="1"/>
    <col min="412" max="417" width="8.8984375" bestFit="1" customWidth="1"/>
    <col min="418" max="424" width="10" bestFit="1" customWidth="1"/>
    <col min="425" max="428" width="8.8984375" bestFit="1" customWidth="1"/>
    <col min="429" max="431" width="10" bestFit="1" customWidth="1"/>
    <col min="432" max="435" width="8.8984375" bestFit="1" customWidth="1"/>
    <col min="436" max="450" width="10" bestFit="1" customWidth="1"/>
    <col min="451" max="456" width="8.8984375" bestFit="1" customWidth="1"/>
    <col min="457" max="466" width="10" bestFit="1" customWidth="1"/>
    <col min="467" max="468" width="8.8984375" bestFit="1" customWidth="1"/>
    <col min="469" max="475" width="10" bestFit="1" customWidth="1"/>
    <col min="476" max="476" width="8.8984375" bestFit="1" customWidth="1"/>
    <col min="477" max="484" width="10" bestFit="1" customWidth="1"/>
    <col min="485" max="487" width="8.8984375" bestFit="1" customWidth="1"/>
    <col min="488" max="494" width="10" bestFit="1" customWidth="1"/>
    <col min="495" max="495" width="8.8984375" bestFit="1" customWidth="1"/>
    <col min="496" max="504" width="10" bestFit="1" customWidth="1"/>
    <col min="505" max="514" width="11" bestFit="1" customWidth="1"/>
    <col min="515" max="518" width="10" bestFit="1" customWidth="1"/>
    <col min="519" max="527" width="11" bestFit="1" customWidth="1"/>
    <col min="528" max="530" width="10" bestFit="1" customWidth="1"/>
    <col min="531" max="540" width="11" bestFit="1" customWidth="1"/>
    <col min="541" max="541" width="10.8984375" bestFit="1" customWidth="1"/>
  </cols>
  <sheetData>
    <row r="2" spans="1:10" x14ac:dyDescent="0.3">
      <c r="B2" s="15" t="s">
        <v>1592</v>
      </c>
      <c r="C2" s="16"/>
      <c r="D2" s="16"/>
      <c r="E2" s="16"/>
      <c r="F2" s="16"/>
      <c r="G2" s="16"/>
      <c r="H2" s="16"/>
      <c r="I2" s="16"/>
    </row>
    <row r="3" spans="1:10" x14ac:dyDescent="0.3">
      <c r="B3" s="16"/>
      <c r="C3" s="16"/>
      <c r="D3" s="16"/>
      <c r="E3" s="16"/>
      <c r="F3" s="16"/>
      <c r="G3" s="16"/>
      <c r="H3" s="16"/>
      <c r="I3" s="16"/>
    </row>
    <row r="5" spans="1:10" x14ac:dyDescent="0.3">
      <c r="A5" t="s">
        <v>1591</v>
      </c>
      <c r="D5" t="s">
        <v>1593</v>
      </c>
      <c r="G5" t="s">
        <v>1594</v>
      </c>
      <c r="J5" t="s">
        <v>1595</v>
      </c>
    </row>
    <row r="6" spans="1:10" x14ac:dyDescent="0.3">
      <c r="A6" s="2">
        <v>689</v>
      </c>
      <c r="D6" s="6">
        <v>17099892</v>
      </c>
      <c r="G6" s="6">
        <v>2068.2017416545718</v>
      </c>
      <c r="J6" s="7">
        <v>3.5863570391872277</v>
      </c>
    </row>
    <row r="7" spans="1:10" x14ac:dyDescent="0.3">
      <c r="A7" s="2"/>
      <c r="D7" s="6"/>
      <c r="G7" s="6"/>
      <c r="J7" s="7"/>
    </row>
    <row r="9" spans="1:10" x14ac:dyDescent="0.3">
      <c r="A9" t="s">
        <v>1596</v>
      </c>
      <c r="D9" t="s">
        <v>1597</v>
      </c>
      <c r="G9" t="s">
        <v>1598</v>
      </c>
    </row>
    <row r="10" spans="1:10" x14ac:dyDescent="0.3">
      <c r="A10" s="2">
        <v>9441</v>
      </c>
      <c r="D10" s="2">
        <v>1632</v>
      </c>
      <c r="G10" s="8">
        <v>7.0986937590711179</v>
      </c>
    </row>
    <row r="11" spans="1:10" x14ac:dyDescent="0.3">
      <c r="A11" s="2"/>
      <c r="D11" s="2"/>
      <c r="G11" s="8"/>
    </row>
    <row r="14" spans="1:10" x14ac:dyDescent="0.3">
      <c r="A14" s="17" t="s">
        <v>1600</v>
      </c>
      <c r="B14" s="16"/>
      <c r="C14" s="16"/>
    </row>
    <row r="15" spans="1:10" x14ac:dyDescent="0.3">
      <c r="A15" s="16"/>
      <c r="B15" s="16"/>
      <c r="C15" s="16"/>
    </row>
    <row r="17" spans="1:5" x14ac:dyDescent="0.3">
      <c r="A17" s="5" t="s">
        <v>6</v>
      </c>
      <c r="B17" t="s">
        <v>1591</v>
      </c>
      <c r="C17" t="s">
        <v>1594</v>
      </c>
      <c r="D17" t="s">
        <v>1595</v>
      </c>
      <c r="E17" t="s">
        <v>1603</v>
      </c>
    </row>
    <row r="18" spans="1:5" x14ac:dyDescent="0.3">
      <c r="A18" s="9" t="s">
        <v>28</v>
      </c>
      <c r="B18" s="2">
        <v>140</v>
      </c>
      <c r="C18" s="6">
        <v>2004.6357142857144</v>
      </c>
      <c r="D18" s="7">
        <v>3.5357142857142856</v>
      </c>
      <c r="E18" s="10">
        <v>12.135714285714286</v>
      </c>
    </row>
    <row r="19" spans="1:5" x14ac:dyDescent="0.3">
      <c r="A19" s="9" t="s">
        <v>17</v>
      </c>
      <c r="B19" s="2">
        <v>89</v>
      </c>
      <c r="C19" s="6">
        <v>2053.9550561797751</v>
      </c>
      <c r="D19" s="7">
        <v>3.7640449438202248</v>
      </c>
      <c r="E19" s="6">
        <v>19.101123595505619</v>
      </c>
    </row>
    <row r="20" spans="1:5" x14ac:dyDescent="0.3">
      <c r="A20" s="9" t="s">
        <v>41</v>
      </c>
      <c r="B20" s="2">
        <v>84</v>
      </c>
      <c r="C20" s="6">
        <v>1937.1666666666667</v>
      </c>
      <c r="D20" s="7">
        <v>3.6904761904761907</v>
      </c>
      <c r="E20" s="6">
        <v>15.047619047619047</v>
      </c>
    </row>
    <row r="21" spans="1:5" x14ac:dyDescent="0.3">
      <c r="A21" s="9" t="s">
        <v>77</v>
      </c>
      <c r="B21" s="2">
        <v>67</v>
      </c>
      <c r="C21" s="6">
        <v>2083.9253731343283</v>
      </c>
      <c r="D21" s="7">
        <v>3.5746268656716418</v>
      </c>
      <c r="E21" s="6">
        <v>11.507462686567164</v>
      </c>
    </row>
    <row r="22" spans="1:5" x14ac:dyDescent="0.3">
      <c r="A22" s="9" t="s">
        <v>53</v>
      </c>
      <c r="B22" s="2">
        <v>58</v>
      </c>
      <c r="C22" s="6">
        <v>2285.2758620689656</v>
      </c>
      <c r="D22" s="7">
        <v>3.6206896551724137</v>
      </c>
      <c r="E22" s="6">
        <v>10.431034482758621</v>
      </c>
    </row>
    <row r="23" spans="1:5" x14ac:dyDescent="0.3">
      <c r="A23" s="9" t="s">
        <v>58</v>
      </c>
      <c r="B23" s="2">
        <v>48</v>
      </c>
      <c r="C23" s="6">
        <v>2061.125</v>
      </c>
      <c r="D23" s="7">
        <v>3.4270833333333335</v>
      </c>
      <c r="E23" s="6">
        <v>6.916666666666667</v>
      </c>
    </row>
    <row r="24" spans="1:5" x14ac:dyDescent="0.3">
      <c r="A24" s="9" t="s">
        <v>50</v>
      </c>
      <c r="B24" s="2">
        <v>40</v>
      </c>
      <c r="C24" s="6">
        <v>2114.5250000000001</v>
      </c>
      <c r="D24" s="7">
        <v>3.6</v>
      </c>
      <c r="E24" s="6">
        <v>13.074999999999999</v>
      </c>
    </row>
    <row r="25" spans="1:5" x14ac:dyDescent="0.3">
      <c r="A25" s="9" t="s">
        <v>35</v>
      </c>
      <c r="B25" s="2">
        <v>34</v>
      </c>
      <c r="C25" s="6">
        <v>1964.7058823529412</v>
      </c>
      <c r="D25" s="7">
        <v>3.4852941176470589</v>
      </c>
      <c r="E25" s="6">
        <v>6.4411764705882355</v>
      </c>
    </row>
    <row r="26" spans="1:5" x14ac:dyDescent="0.3">
      <c r="A26" s="9" t="s">
        <v>39</v>
      </c>
      <c r="B26" s="2">
        <v>20</v>
      </c>
      <c r="C26" s="6">
        <v>1956.45</v>
      </c>
      <c r="D26" s="7">
        <v>3.2749999999999999</v>
      </c>
      <c r="E26" s="6">
        <v>23.3</v>
      </c>
    </row>
    <row r="27" spans="1:5" x14ac:dyDescent="0.3">
      <c r="A27" s="9" t="s">
        <v>118</v>
      </c>
      <c r="B27" s="2">
        <v>19</v>
      </c>
      <c r="C27" s="6">
        <v>2011.3157894736842</v>
      </c>
      <c r="D27" s="7">
        <v>3.7894736842105261</v>
      </c>
      <c r="E27" s="6">
        <v>17.473684210526315</v>
      </c>
    </row>
    <row r="28" spans="1:5" x14ac:dyDescent="0.3">
      <c r="A28" s="9" t="s">
        <v>76</v>
      </c>
      <c r="B28" s="2">
        <v>16</v>
      </c>
      <c r="C28" s="6">
        <v>2361.75</v>
      </c>
      <c r="D28" s="7">
        <v>2.90625</v>
      </c>
      <c r="E28" s="6">
        <v>24.125</v>
      </c>
    </row>
    <row r="29" spans="1:5" x14ac:dyDescent="0.3">
      <c r="A29" s="9" t="s">
        <v>88</v>
      </c>
      <c r="B29" s="2">
        <v>14</v>
      </c>
      <c r="C29" s="6">
        <v>2040.4285714285713</v>
      </c>
      <c r="D29" s="7">
        <v>3.7857142857142856</v>
      </c>
      <c r="E29" s="6">
        <v>15.642857142857142</v>
      </c>
    </row>
    <row r="30" spans="1:5" x14ac:dyDescent="0.3">
      <c r="A30" s="9" t="s">
        <v>93</v>
      </c>
      <c r="B30" s="2">
        <v>13</v>
      </c>
      <c r="C30" s="6">
        <v>2508.1538461538462</v>
      </c>
      <c r="D30" s="7">
        <v>3.0769230769230771</v>
      </c>
      <c r="E30" s="6">
        <v>11.153846153846153</v>
      </c>
    </row>
    <row r="31" spans="1:5" x14ac:dyDescent="0.3">
      <c r="A31" s="9" t="s">
        <v>163</v>
      </c>
      <c r="B31" s="2">
        <v>9</v>
      </c>
      <c r="C31" s="6">
        <v>2000.4444444444443</v>
      </c>
      <c r="D31" s="7">
        <v>4.2222222222222223</v>
      </c>
      <c r="E31" s="6">
        <v>3.6666666666666665</v>
      </c>
    </row>
    <row r="32" spans="1:5" x14ac:dyDescent="0.3">
      <c r="A32" s="9" t="s">
        <v>45</v>
      </c>
      <c r="B32" s="2">
        <v>8</v>
      </c>
      <c r="C32" s="6">
        <v>2082.875</v>
      </c>
      <c r="D32" s="7">
        <v>2.875</v>
      </c>
      <c r="E32" s="6">
        <v>18.375</v>
      </c>
    </row>
    <row r="33" spans="1:5" x14ac:dyDescent="0.3">
      <c r="A33" s="9" t="s">
        <v>25</v>
      </c>
      <c r="B33" s="2">
        <v>8</v>
      </c>
      <c r="C33" s="6">
        <v>2242.375</v>
      </c>
      <c r="D33" s="7">
        <v>4.25</v>
      </c>
      <c r="E33" s="6">
        <v>38.625</v>
      </c>
    </row>
    <row r="34" spans="1:5" x14ac:dyDescent="0.3">
      <c r="A34" s="9" t="s">
        <v>200</v>
      </c>
      <c r="B34" s="2">
        <v>7</v>
      </c>
      <c r="C34" s="6">
        <v>2555.8571428571427</v>
      </c>
      <c r="D34" s="7">
        <v>4.3571428571428568</v>
      </c>
      <c r="E34" s="6">
        <v>17</v>
      </c>
    </row>
    <row r="35" spans="1:5" x14ac:dyDescent="0.3">
      <c r="A35" s="9" t="s">
        <v>353</v>
      </c>
      <c r="B35" s="2">
        <v>5</v>
      </c>
      <c r="C35" s="6">
        <v>1887</v>
      </c>
      <c r="D35" s="7">
        <v>3.3</v>
      </c>
      <c r="E35" s="6">
        <v>5.4</v>
      </c>
    </row>
    <row r="36" spans="1:5" x14ac:dyDescent="0.3">
      <c r="A36" s="9" t="s">
        <v>144</v>
      </c>
      <c r="B36" s="2">
        <v>5</v>
      </c>
      <c r="C36" s="6">
        <v>2098.6</v>
      </c>
      <c r="D36" s="7">
        <v>3</v>
      </c>
      <c r="E36" s="6">
        <v>3</v>
      </c>
    </row>
    <row r="37" spans="1:5" x14ac:dyDescent="0.3">
      <c r="A37" s="9" t="s">
        <v>73</v>
      </c>
      <c r="B37" s="2">
        <v>5</v>
      </c>
      <c r="C37" s="6">
        <v>1921</v>
      </c>
      <c r="D37" s="7">
        <v>4.0999999999999996</v>
      </c>
      <c r="E37" s="6">
        <v>26</v>
      </c>
    </row>
    <row r="38" spans="1:5" x14ac:dyDescent="0.3">
      <c r="A38" s="9" t="s">
        <v>1599</v>
      </c>
      <c r="B38" s="2">
        <v>689</v>
      </c>
      <c r="C38" s="6">
        <v>2068.2017416545718</v>
      </c>
      <c r="D38" s="7">
        <v>3.5863570391872277</v>
      </c>
      <c r="E38" s="6">
        <v>13.702467343976778</v>
      </c>
    </row>
    <row r="39" spans="1:5" x14ac:dyDescent="0.3">
      <c r="A39" s="9"/>
      <c r="B39" s="2"/>
      <c r="C39" s="6"/>
      <c r="D39" s="7"/>
      <c r="E39" s="6"/>
    </row>
    <row r="40" spans="1:5" x14ac:dyDescent="0.3">
      <c r="A40" s="9"/>
      <c r="B40" s="2"/>
      <c r="C40" s="6"/>
      <c r="D40" s="7"/>
      <c r="E40" s="6"/>
    </row>
    <row r="41" spans="1:5" x14ac:dyDescent="0.3">
      <c r="A41" s="9"/>
      <c r="B41" s="2"/>
      <c r="C41" s="6"/>
      <c r="D41" s="7"/>
      <c r="E41" s="6"/>
    </row>
    <row r="42" spans="1:5" x14ac:dyDescent="0.3">
      <c r="A42" s="17" t="s">
        <v>1620</v>
      </c>
      <c r="B42" s="16"/>
      <c r="C42" s="16"/>
      <c r="D42" s="7"/>
      <c r="E42" s="6"/>
    </row>
    <row r="43" spans="1:5" x14ac:dyDescent="0.3">
      <c r="A43" s="16"/>
      <c r="B43" s="16"/>
      <c r="C43" s="16"/>
      <c r="D43" s="7"/>
      <c r="E43" s="6"/>
    </row>
    <row r="44" spans="1:5" x14ac:dyDescent="0.3">
      <c r="A44" s="9"/>
      <c r="B44" s="2"/>
      <c r="C44" s="6"/>
      <c r="D44" s="7"/>
      <c r="E44" s="6"/>
    </row>
    <row r="45" spans="1:5" x14ac:dyDescent="0.3">
      <c r="A45" s="5" t="s">
        <v>6</v>
      </c>
      <c r="B45" t="s">
        <v>1619</v>
      </c>
      <c r="C45" s="6"/>
      <c r="D45" s="7"/>
      <c r="E45" s="6"/>
    </row>
    <row r="46" spans="1:5" x14ac:dyDescent="0.3">
      <c r="A46" s="9" t="s">
        <v>58</v>
      </c>
      <c r="B46" s="6">
        <v>24733.5</v>
      </c>
      <c r="C46" s="6"/>
      <c r="D46" s="7"/>
      <c r="E46" s="6"/>
    </row>
    <row r="47" spans="1:5" x14ac:dyDescent="0.3">
      <c r="A47" s="9" t="s">
        <v>45</v>
      </c>
      <c r="B47" s="6">
        <v>24994.5</v>
      </c>
      <c r="C47" s="6"/>
      <c r="D47" s="7"/>
      <c r="E47" s="6"/>
    </row>
    <row r="48" spans="1:5" x14ac:dyDescent="0.3">
      <c r="A48" s="9" t="s">
        <v>77</v>
      </c>
      <c r="B48" s="6">
        <v>25007.104477611942</v>
      </c>
      <c r="C48" s="6"/>
      <c r="D48" s="7"/>
      <c r="E48" s="6"/>
    </row>
    <row r="49" spans="1:5" x14ac:dyDescent="0.3">
      <c r="A49" s="9" t="s">
        <v>144</v>
      </c>
      <c r="B49" s="6">
        <v>25183.200000000001</v>
      </c>
      <c r="C49" s="6"/>
      <c r="D49" s="7"/>
      <c r="E49" s="6"/>
    </row>
    <row r="50" spans="1:5" x14ac:dyDescent="0.3">
      <c r="A50" s="9" t="s">
        <v>50</v>
      </c>
      <c r="B50" s="6">
        <v>25374.3</v>
      </c>
      <c r="C50" s="6"/>
      <c r="D50" s="7"/>
      <c r="E50" s="6"/>
    </row>
    <row r="51" spans="1:5" x14ac:dyDescent="0.3">
      <c r="A51" s="9" t="s">
        <v>25</v>
      </c>
      <c r="B51" s="6">
        <v>26908.5</v>
      </c>
      <c r="C51" s="6"/>
      <c r="D51" s="7"/>
      <c r="E51" s="6"/>
    </row>
    <row r="52" spans="1:5" x14ac:dyDescent="0.3">
      <c r="A52" s="9" t="s">
        <v>53</v>
      </c>
      <c r="B52" s="6">
        <v>27423.310344827587</v>
      </c>
      <c r="C52" s="6"/>
      <c r="D52" s="7"/>
      <c r="E52" s="6"/>
    </row>
    <row r="53" spans="1:5" x14ac:dyDescent="0.3">
      <c r="A53" s="9" t="s">
        <v>76</v>
      </c>
      <c r="B53" s="6">
        <v>28341</v>
      </c>
      <c r="C53" s="6"/>
      <c r="D53" s="7"/>
      <c r="E53" s="6"/>
    </row>
    <row r="54" spans="1:5" x14ac:dyDescent="0.3">
      <c r="A54" s="9" t="s">
        <v>93</v>
      </c>
      <c r="B54" s="6">
        <v>30097.846153846152</v>
      </c>
      <c r="C54" s="6"/>
      <c r="D54" s="7"/>
      <c r="E54" s="6"/>
    </row>
    <row r="55" spans="1:5" x14ac:dyDescent="0.3">
      <c r="A55" s="9" t="s">
        <v>200</v>
      </c>
      <c r="B55" s="6">
        <v>30670.285714285714</v>
      </c>
      <c r="C55" s="6"/>
      <c r="D55" s="7"/>
      <c r="E55" s="6"/>
    </row>
    <row r="56" spans="1:5" x14ac:dyDescent="0.3">
      <c r="A56" s="9" t="s">
        <v>1599</v>
      </c>
      <c r="B56" s="6">
        <v>26180.62222222222</v>
      </c>
      <c r="C56" s="6"/>
      <c r="D56" s="7"/>
      <c r="E56" s="6"/>
    </row>
    <row r="57" spans="1:5" x14ac:dyDescent="0.3">
      <c r="C57" s="6"/>
      <c r="D57" s="7"/>
      <c r="E57" s="6"/>
    </row>
    <row r="58" spans="1:5" x14ac:dyDescent="0.3">
      <c r="C58" s="6"/>
      <c r="D58" s="7"/>
      <c r="E58" s="6"/>
    </row>
    <row r="59" spans="1:5" x14ac:dyDescent="0.3">
      <c r="C59" s="6"/>
      <c r="D59" s="7"/>
      <c r="E59" s="6"/>
    </row>
    <row r="60" spans="1:5" x14ac:dyDescent="0.3">
      <c r="C60" s="6"/>
      <c r="D60" s="7"/>
      <c r="E60" s="6"/>
    </row>
    <row r="61" spans="1:5" x14ac:dyDescent="0.3">
      <c r="C61" s="6"/>
      <c r="D61" s="7"/>
      <c r="E61" s="6"/>
    </row>
    <row r="62" spans="1:5" x14ac:dyDescent="0.3">
      <c r="C62" s="6"/>
      <c r="D62" s="7"/>
      <c r="E62" s="6"/>
    </row>
    <row r="63" spans="1:5" x14ac:dyDescent="0.3">
      <c r="C63" s="6"/>
      <c r="D63" s="7"/>
      <c r="E63" s="6"/>
    </row>
    <row r="64" spans="1:5" x14ac:dyDescent="0.3">
      <c r="C64" s="6"/>
      <c r="D64" s="7"/>
      <c r="E64" s="6"/>
    </row>
    <row r="65" spans="1:5" x14ac:dyDescent="0.3">
      <c r="C65" s="6"/>
      <c r="D65" s="7"/>
      <c r="E65" s="6"/>
    </row>
    <row r="66" spans="1:5" x14ac:dyDescent="0.3">
      <c r="C66" s="6"/>
      <c r="D66" s="7"/>
      <c r="E66" s="6"/>
    </row>
    <row r="67" spans="1:5" x14ac:dyDescent="0.3">
      <c r="A67" s="9"/>
      <c r="B67" s="2"/>
      <c r="C67" s="6"/>
      <c r="D67" s="7"/>
      <c r="E67" s="6"/>
    </row>
    <row r="68" spans="1:5" x14ac:dyDescent="0.3">
      <c r="A68" s="9"/>
      <c r="B68" s="2"/>
      <c r="C68" s="6"/>
      <c r="D68" s="7"/>
      <c r="E68" s="6"/>
    </row>
    <row r="69" spans="1:5" x14ac:dyDescent="0.3">
      <c r="A69" s="9"/>
      <c r="B69" s="2"/>
      <c r="C69" s="6"/>
      <c r="D69" s="7"/>
      <c r="E69" s="6"/>
    </row>
    <row r="70" spans="1:5" x14ac:dyDescent="0.3">
      <c r="A70" s="9"/>
      <c r="B70" s="2"/>
      <c r="C70" s="6"/>
      <c r="D70" s="7"/>
      <c r="E70" s="6"/>
    </row>
    <row r="71" spans="1:5" x14ac:dyDescent="0.3">
      <c r="A71" s="9"/>
      <c r="B71" s="2"/>
      <c r="C71" s="6"/>
      <c r="D71" s="7"/>
      <c r="E71" s="6"/>
    </row>
    <row r="72" spans="1:5" x14ac:dyDescent="0.3">
      <c r="A72" s="9"/>
      <c r="B72" s="2"/>
      <c r="C72" s="6"/>
      <c r="D72" s="7"/>
      <c r="E72" s="6"/>
    </row>
    <row r="73" spans="1:5" x14ac:dyDescent="0.3">
      <c r="A73" s="9"/>
      <c r="B73" s="2"/>
      <c r="C73" s="6"/>
      <c r="D73" s="7"/>
      <c r="E73" s="6"/>
    </row>
    <row r="74" spans="1:5" x14ac:dyDescent="0.3">
      <c r="A74" s="9"/>
      <c r="B74" s="2"/>
      <c r="C74" s="6"/>
      <c r="D74" s="7"/>
      <c r="E74" s="6"/>
    </row>
    <row r="75" spans="1:5" x14ac:dyDescent="0.3">
      <c r="A75" s="9"/>
      <c r="B75" s="2"/>
      <c r="C75" s="6"/>
      <c r="D75" s="7"/>
      <c r="E75" s="6"/>
    </row>
    <row r="76" spans="1:5" x14ac:dyDescent="0.3">
      <c r="A76" s="9"/>
      <c r="B76" s="2"/>
      <c r="C76" s="6"/>
      <c r="D76" s="7"/>
      <c r="E76" s="6"/>
    </row>
    <row r="80" spans="1:5" x14ac:dyDescent="0.3">
      <c r="A80" s="17" t="s">
        <v>1601</v>
      </c>
      <c r="B80" s="16"/>
    </row>
    <row r="81" spans="1:4" x14ac:dyDescent="0.3">
      <c r="A81" s="16"/>
      <c r="B81" s="16"/>
    </row>
    <row r="83" spans="1:4" x14ac:dyDescent="0.3">
      <c r="A83" s="5" t="s">
        <v>7</v>
      </c>
      <c r="B83" t="s">
        <v>1591</v>
      </c>
      <c r="C83" s="13" t="s">
        <v>7</v>
      </c>
      <c r="D83" s="13" t="s">
        <v>1591</v>
      </c>
    </row>
    <row r="84" spans="1:4" x14ac:dyDescent="0.3">
      <c r="A84" s="9" t="s">
        <v>18</v>
      </c>
      <c r="B84" s="2">
        <v>379</v>
      </c>
      <c r="C84" t="str" cm="1">
        <f t="array" ref="C84:C88">_xlfn.UNIQUE(A84:A88)</f>
        <v>Egypt</v>
      </c>
      <c r="D84" s="11">
        <f>GETPIVOTDATA("[Measures].[Total Employees]",$A$83,"[Employees_Clean].[Country]","[Employees_Clean].[Country].&amp;["&amp;C84&amp;"]")</f>
        <v>379</v>
      </c>
    </row>
    <row r="85" spans="1:4" x14ac:dyDescent="0.3">
      <c r="A85" s="9" t="s">
        <v>29</v>
      </c>
      <c r="B85" s="2">
        <v>156</v>
      </c>
      <c r="C85" t="str">
        <v>United Arab Emirates</v>
      </c>
      <c r="D85" s="11">
        <f t="shared" ref="D85:D88" si="0">GETPIVOTDATA("[Measures].[Total Employees]",$A$83,"[Employees_Clean].[Country]","[Employees_Clean].[Country].&amp;["&amp;C85&amp;"]")</f>
        <v>156</v>
      </c>
    </row>
    <row r="86" spans="1:4" x14ac:dyDescent="0.3">
      <c r="A86" s="9" t="s">
        <v>22</v>
      </c>
      <c r="B86" s="2">
        <v>90</v>
      </c>
      <c r="C86" t="str">
        <v>Saudi Arabia</v>
      </c>
      <c r="D86" s="11">
        <f t="shared" si="0"/>
        <v>90</v>
      </c>
    </row>
    <row r="87" spans="1:4" x14ac:dyDescent="0.3">
      <c r="A87" s="9" t="s">
        <v>48</v>
      </c>
      <c r="B87" s="2">
        <v>53</v>
      </c>
      <c r="C87" t="str">
        <v>Syria</v>
      </c>
      <c r="D87" s="11">
        <f t="shared" si="0"/>
        <v>53</v>
      </c>
    </row>
    <row r="88" spans="1:4" x14ac:dyDescent="0.3">
      <c r="A88" s="9" t="s">
        <v>294</v>
      </c>
      <c r="B88" s="2">
        <v>11</v>
      </c>
      <c r="C88" t="str">
        <v>Lebanon</v>
      </c>
      <c r="D88" s="11">
        <f t="shared" si="0"/>
        <v>11</v>
      </c>
    </row>
    <row r="89" spans="1:4" x14ac:dyDescent="0.3">
      <c r="A89" s="9" t="s">
        <v>1599</v>
      </c>
      <c r="B89" s="2">
        <v>689</v>
      </c>
      <c r="D89" s="11"/>
    </row>
    <row r="90" spans="1:4" x14ac:dyDescent="0.3">
      <c r="A90" s="9"/>
      <c r="B90" s="2"/>
      <c r="D90" s="11"/>
    </row>
    <row r="91" spans="1:4" x14ac:dyDescent="0.3">
      <c r="A91" s="9"/>
      <c r="B91" s="2"/>
      <c r="D91" s="11"/>
    </row>
    <row r="95" spans="1:4" x14ac:dyDescent="0.3">
      <c r="A95" s="17" t="s">
        <v>1602</v>
      </c>
      <c r="B95" s="16"/>
    </row>
    <row r="96" spans="1:4" x14ac:dyDescent="0.3">
      <c r="A96" s="16"/>
      <c r="B96" s="16"/>
    </row>
    <row r="98" spans="1:4" x14ac:dyDescent="0.3">
      <c r="A98" s="5" t="s">
        <v>3</v>
      </c>
      <c r="B98" t="s">
        <v>1591</v>
      </c>
    </row>
    <row r="99" spans="1:4" x14ac:dyDescent="0.3">
      <c r="A99" s="9" t="s">
        <v>32</v>
      </c>
      <c r="B99" s="12">
        <v>0.65166908563134973</v>
      </c>
    </row>
    <row r="100" spans="1:4" x14ac:dyDescent="0.3">
      <c r="A100" s="9" t="s">
        <v>307</v>
      </c>
      <c r="B100" s="12">
        <v>0.34833091436865021</v>
      </c>
    </row>
    <row r="101" spans="1:4" x14ac:dyDescent="0.3">
      <c r="A101" s="9" t="s">
        <v>1599</v>
      </c>
      <c r="B101" s="12">
        <v>1</v>
      </c>
    </row>
    <row r="105" spans="1:4" x14ac:dyDescent="0.3">
      <c r="A105" s="17" t="s">
        <v>1604</v>
      </c>
      <c r="B105" s="16"/>
    </row>
    <row r="106" spans="1:4" x14ac:dyDescent="0.3">
      <c r="A106" s="16"/>
      <c r="B106" s="16"/>
    </row>
    <row r="108" spans="1:4" x14ac:dyDescent="0.3">
      <c r="A108" s="5" t="s">
        <v>1605</v>
      </c>
      <c r="B108" t="s">
        <v>1591</v>
      </c>
      <c r="C108" t="s">
        <v>1594</v>
      </c>
      <c r="D108" t="s">
        <v>1595</v>
      </c>
    </row>
    <row r="109" spans="1:4" x14ac:dyDescent="0.3">
      <c r="A109" s="9" t="s">
        <v>912</v>
      </c>
      <c r="B109" s="2">
        <v>256</v>
      </c>
      <c r="C109" s="6">
        <v>2102.1484375</v>
      </c>
      <c r="D109" s="7">
        <v>3.51171875</v>
      </c>
    </row>
    <row r="110" spans="1:4" x14ac:dyDescent="0.3">
      <c r="A110" s="9" t="s">
        <v>907</v>
      </c>
      <c r="B110" s="2">
        <v>326</v>
      </c>
      <c r="C110" s="6">
        <v>2059.6165644171779</v>
      </c>
      <c r="D110" s="7">
        <v>3.5812883435582821</v>
      </c>
    </row>
    <row r="111" spans="1:4" x14ac:dyDescent="0.3">
      <c r="A111" s="9" t="s">
        <v>920</v>
      </c>
      <c r="B111" s="2">
        <v>107</v>
      </c>
      <c r="C111" s="6">
        <v>2013.1401869158879</v>
      </c>
      <c r="D111" s="7">
        <v>3.7803738317757007</v>
      </c>
    </row>
    <row r="112" spans="1:4" x14ac:dyDescent="0.3">
      <c r="A112" s="9" t="s">
        <v>1599</v>
      </c>
      <c r="B112" s="2">
        <v>689</v>
      </c>
      <c r="C112" s="6">
        <v>2068.2017416545718</v>
      </c>
      <c r="D112" s="7">
        <v>3.5863570391872277</v>
      </c>
    </row>
    <row r="116" spans="1:3" x14ac:dyDescent="0.3">
      <c r="A116" s="17" t="s">
        <v>1606</v>
      </c>
      <c r="B116" s="16"/>
    </row>
    <row r="117" spans="1:3" x14ac:dyDescent="0.3">
      <c r="A117" s="16"/>
      <c r="B117" s="16"/>
    </row>
    <row r="119" spans="1:3" x14ac:dyDescent="0.3">
      <c r="A119" s="5" t="s">
        <v>905</v>
      </c>
      <c r="B119" t="s">
        <v>1591</v>
      </c>
      <c r="C119" t="s">
        <v>1596</v>
      </c>
    </row>
    <row r="120" spans="1:3" x14ac:dyDescent="0.3">
      <c r="A120" s="9" t="s">
        <v>917</v>
      </c>
      <c r="B120" s="2">
        <v>510</v>
      </c>
      <c r="C120" s="2">
        <v>2925</v>
      </c>
    </row>
    <row r="121" spans="1:3" x14ac:dyDescent="0.3">
      <c r="A121" s="9" t="s">
        <v>910</v>
      </c>
      <c r="B121" s="2">
        <v>128</v>
      </c>
      <c r="C121" s="2">
        <v>6516</v>
      </c>
    </row>
    <row r="122" spans="1:3" x14ac:dyDescent="0.3">
      <c r="A122" s="9" t="s">
        <v>955</v>
      </c>
      <c r="B122" s="2">
        <v>51</v>
      </c>
      <c r="C122" s="2">
        <v>0</v>
      </c>
    </row>
    <row r="123" spans="1:3" x14ac:dyDescent="0.3">
      <c r="A123" s="9" t="s">
        <v>1599</v>
      </c>
      <c r="B123" s="2">
        <v>689</v>
      </c>
      <c r="C123" s="2">
        <v>9441</v>
      </c>
    </row>
    <row r="127" spans="1:3" x14ac:dyDescent="0.3">
      <c r="A127" s="17" t="s">
        <v>1608</v>
      </c>
      <c r="B127" s="16"/>
    </row>
    <row r="128" spans="1:3" x14ac:dyDescent="0.3">
      <c r="A128" s="16"/>
      <c r="B128" s="16"/>
    </row>
    <row r="130" spans="1:3" x14ac:dyDescent="0.3">
      <c r="A130" s="5" t="s">
        <v>1607</v>
      </c>
      <c r="B130" t="s">
        <v>1591</v>
      </c>
      <c r="C130" t="s">
        <v>1594</v>
      </c>
    </row>
    <row r="131" spans="1:3" x14ac:dyDescent="0.3">
      <c r="A131" s="9" t="s">
        <v>913</v>
      </c>
      <c r="B131" s="2">
        <v>224</v>
      </c>
      <c r="C131" s="6">
        <v>2956.0758928571427</v>
      </c>
    </row>
    <row r="132" spans="1:3" x14ac:dyDescent="0.3">
      <c r="A132" s="9" t="s">
        <v>909</v>
      </c>
      <c r="B132" s="2">
        <v>194</v>
      </c>
      <c r="C132" s="6">
        <v>1114.7268041237114</v>
      </c>
    </row>
    <row r="133" spans="1:3" x14ac:dyDescent="0.3">
      <c r="A133" s="9" t="s">
        <v>908</v>
      </c>
      <c r="B133" s="2">
        <v>271</v>
      </c>
      <c r="C133" s="6">
        <v>2016.8745387453876</v>
      </c>
    </row>
    <row r="134" spans="1:3" x14ac:dyDescent="0.3">
      <c r="A134" s="9" t="s">
        <v>1599</v>
      </c>
      <c r="B134" s="2">
        <v>689</v>
      </c>
      <c r="C134" s="6">
        <v>2068.2017416545718</v>
      </c>
    </row>
    <row r="138" spans="1:3" x14ac:dyDescent="0.3">
      <c r="A138" s="17" t="s">
        <v>1609</v>
      </c>
      <c r="B138" s="16"/>
    </row>
    <row r="139" spans="1:3" x14ac:dyDescent="0.3">
      <c r="A139" s="16"/>
      <c r="B139" s="16"/>
    </row>
    <row r="141" spans="1:3" x14ac:dyDescent="0.3">
      <c r="A141" s="5" t="s">
        <v>903</v>
      </c>
      <c r="B141" t="s">
        <v>1591</v>
      </c>
    </row>
    <row r="142" spans="1:3" x14ac:dyDescent="0.3">
      <c r="A142" s="9" t="s">
        <v>913</v>
      </c>
      <c r="B142" s="2">
        <v>339</v>
      </c>
    </row>
    <row r="143" spans="1:3" x14ac:dyDescent="0.3">
      <c r="A143" s="9" t="s">
        <v>908</v>
      </c>
      <c r="B143" s="2">
        <v>208</v>
      </c>
    </row>
    <row r="144" spans="1:3" x14ac:dyDescent="0.3">
      <c r="A144" s="9" t="s">
        <v>909</v>
      </c>
      <c r="B144" s="2">
        <v>142</v>
      </c>
    </row>
    <row r="145" spans="1:2" x14ac:dyDescent="0.3">
      <c r="A145" s="9" t="s">
        <v>1599</v>
      </c>
      <c r="B145" s="2">
        <v>689</v>
      </c>
    </row>
    <row r="149" spans="1:2" x14ac:dyDescent="0.3">
      <c r="A149" s="17" t="s">
        <v>1615</v>
      </c>
      <c r="B149" s="16"/>
    </row>
    <row r="150" spans="1:2" x14ac:dyDescent="0.3">
      <c r="A150" s="16"/>
      <c r="B150" s="16"/>
    </row>
    <row r="152" spans="1:2" x14ac:dyDescent="0.3">
      <c r="A152" s="5" t="s">
        <v>5</v>
      </c>
      <c r="B152" t="s">
        <v>1591</v>
      </c>
    </row>
    <row r="153" spans="1:2" x14ac:dyDescent="0.3">
      <c r="A153" s="9" t="s">
        <v>1610</v>
      </c>
      <c r="B153" s="2">
        <v>51</v>
      </c>
    </row>
    <row r="154" spans="1:2" x14ac:dyDescent="0.3">
      <c r="A154" s="9" t="s">
        <v>1611</v>
      </c>
      <c r="B154" s="2">
        <v>77</v>
      </c>
    </row>
    <row r="155" spans="1:2" x14ac:dyDescent="0.3">
      <c r="A155" s="9" t="s">
        <v>1612</v>
      </c>
      <c r="B155" s="2">
        <v>151</v>
      </c>
    </row>
    <row r="156" spans="1:2" x14ac:dyDescent="0.3">
      <c r="A156" s="9" t="s">
        <v>1613</v>
      </c>
      <c r="B156" s="2">
        <v>248</v>
      </c>
    </row>
    <row r="157" spans="1:2" x14ac:dyDescent="0.3">
      <c r="A157" s="9" t="s">
        <v>1614</v>
      </c>
      <c r="B157" s="2">
        <v>162</v>
      </c>
    </row>
    <row r="158" spans="1:2" x14ac:dyDescent="0.3">
      <c r="A158" s="9" t="s">
        <v>1599</v>
      </c>
      <c r="B158" s="2">
        <v>689</v>
      </c>
    </row>
    <row r="164" spans="1:4" x14ac:dyDescent="0.3">
      <c r="A164" s="17" t="s">
        <v>1618</v>
      </c>
      <c r="B164" s="16"/>
    </row>
    <row r="165" spans="1:4" x14ac:dyDescent="0.3">
      <c r="A165" s="16"/>
      <c r="B165" s="16"/>
    </row>
    <row r="167" spans="1:4" x14ac:dyDescent="0.3">
      <c r="A167" s="5" t="s">
        <v>6</v>
      </c>
      <c r="B167" t="s">
        <v>1616</v>
      </c>
      <c r="C167" t="s">
        <v>1617</v>
      </c>
      <c r="D167" t="s">
        <v>1597</v>
      </c>
    </row>
    <row r="168" spans="1:4" x14ac:dyDescent="0.3">
      <c r="A168" s="9" t="s">
        <v>41</v>
      </c>
      <c r="B168" s="3">
        <v>143</v>
      </c>
      <c r="C168" s="3">
        <v>68</v>
      </c>
      <c r="D168" s="2">
        <v>211</v>
      </c>
    </row>
    <row r="169" spans="1:4" x14ac:dyDescent="0.3">
      <c r="A169" s="9" t="s">
        <v>118</v>
      </c>
      <c r="B169" s="3">
        <v>28</v>
      </c>
      <c r="C169" s="3">
        <v>10</v>
      </c>
      <c r="D169" s="2">
        <v>38</v>
      </c>
    </row>
    <row r="170" spans="1:4" x14ac:dyDescent="0.3">
      <c r="A170" s="9" t="s">
        <v>93</v>
      </c>
      <c r="B170" s="3">
        <v>22</v>
      </c>
      <c r="C170" s="3">
        <v>7</v>
      </c>
      <c r="D170" s="2">
        <v>29</v>
      </c>
    </row>
    <row r="171" spans="1:4" x14ac:dyDescent="0.3">
      <c r="A171" s="9" t="s">
        <v>163</v>
      </c>
      <c r="B171" s="3">
        <v>23</v>
      </c>
      <c r="C171" s="3">
        <v>6</v>
      </c>
      <c r="D171" s="2">
        <v>29</v>
      </c>
    </row>
    <row r="172" spans="1:4" x14ac:dyDescent="0.3">
      <c r="A172" s="9" t="s">
        <v>53</v>
      </c>
      <c r="B172" s="3">
        <v>117</v>
      </c>
      <c r="C172" s="3">
        <v>53</v>
      </c>
      <c r="D172" s="2">
        <v>170</v>
      </c>
    </row>
    <row r="173" spans="1:4" x14ac:dyDescent="0.3">
      <c r="A173" s="9" t="s">
        <v>45</v>
      </c>
      <c r="B173" s="3">
        <v>6</v>
      </c>
      <c r="C173" s="3">
        <v>5</v>
      </c>
      <c r="D173" s="2">
        <v>11</v>
      </c>
    </row>
    <row r="174" spans="1:4" x14ac:dyDescent="0.3">
      <c r="A174" s="9" t="s">
        <v>200</v>
      </c>
      <c r="B174" s="3">
        <v>18</v>
      </c>
      <c r="C174" s="3">
        <v>0</v>
      </c>
      <c r="D174" s="2">
        <v>18</v>
      </c>
    </row>
    <row r="175" spans="1:4" x14ac:dyDescent="0.3">
      <c r="A175" s="9" t="s">
        <v>50</v>
      </c>
      <c r="B175" s="3">
        <v>52</v>
      </c>
      <c r="C175" s="3">
        <v>22</v>
      </c>
      <c r="D175" s="2">
        <v>74</v>
      </c>
    </row>
    <row r="176" spans="1:4" x14ac:dyDescent="0.3">
      <c r="A176" s="9" t="s">
        <v>25</v>
      </c>
      <c r="B176" s="3">
        <v>13</v>
      </c>
      <c r="C176" s="3">
        <v>4</v>
      </c>
      <c r="D176" s="2">
        <v>17</v>
      </c>
    </row>
    <row r="177" spans="1:4" x14ac:dyDescent="0.3">
      <c r="A177" s="9" t="s">
        <v>28</v>
      </c>
      <c r="B177" s="3">
        <v>197</v>
      </c>
      <c r="C177" s="3">
        <v>103</v>
      </c>
      <c r="D177" s="2">
        <v>300</v>
      </c>
    </row>
    <row r="178" spans="1:4" x14ac:dyDescent="0.3">
      <c r="A178" s="9" t="s">
        <v>73</v>
      </c>
      <c r="B178" s="3">
        <v>17</v>
      </c>
      <c r="C178" s="3">
        <v>0</v>
      </c>
      <c r="D178" s="2">
        <v>17</v>
      </c>
    </row>
    <row r="179" spans="1:4" x14ac:dyDescent="0.3">
      <c r="A179" s="9" t="s">
        <v>58</v>
      </c>
      <c r="B179" s="3">
        <v>72</v>
      </c>
      <c r="C179" s="3">
        <v>24</v>
      </c>
      <c r="D179" s="2">
        <v>96</v>
      </c>
    </row>
    <row r="180" spans="1:4" x14ac:dyDescent="0.3">
      <c r="A180" s="9" t="s">
        <v>35</v>
      </c>
      <c r="B180" s="3">
        <v>36</v>
      </c>
      <c r="C180" s="3">
        <v>20</v>
      </c>
      <c r="D180" s="2">
        <v>56</v>
      </c>
    </row>
    <row r="181" spans="1:4" x14ac:dyDescent="0.3">
      <c r="A181" s="9" t="s">
        <v>88</v>
      </c>
      <c r="B181" s="3">
        <v>30</v>
      </c>
      <c r="C181" s="3">
        <v>8</v>
      </c>
      <c r="D181" s="2">
        <v>38</v>
      </c>
    </row>
    <row r="182" spans="1:4" x14ac:dyDescent="0.3">
      <c r="A182" s="9" t="s">
        <v>77</v>
      </c>
      <c r="B182" s="3">
        <v>124</v>
      </c>
      <c r="C182" s="3">
        <v>81</v>
      </c>
      <c r="D182" s="2">
        <v>205</v>
      </c>
    </row>
    <row r="183" spans="1:4" x14ac:dyDescent="0.3">
      <c r="A183" s="9" t="s">
        <v>17</v>
      </c>
      <c r="B183" s="3">
        <v>135</v>
      </c>
      <c r="C183" s="3">
        <v>69</v>
      </c>
      <c r="D183" s="2">
        <v>204</v>
      </c>
    </row>
    <row r="184" spans="1:4" x14ac:dyDescent="0.3">
      <c r="A184" s="9" t="s">
        <v>353</v>
      </c>
      <c r="B184" s="3">
        <v>20</v>
      </c>
      <c r="C184" s="3">
        <v>11</v>
      </c>
      <c r="D184" s="2">
        <v>31</v>
      </c>
    </row>
    <row r="185" spans="1:4" x14ac:dyDescent="0.3">
      <c r="A185" s="9" t="s">
        <v>144</v>
      </c>
      <c r="B185" s="3">
        <v>7</v>
      </c>
      <c r="C185" s="3">
        <v>0</v>
      </c>
      <c r="D185" s="2">
        <v>7</v>
      </c>
    </row>
    <row r="186" spans="1:4" x14ac:dyDescent="0.3">
      <c r="A186" s="9" t="s">
        <v>39</v>
      </c>
      <c r="B186" s="3">
        <v>22</v>
      </c>
      <c r="C186" s="3">
        <v>14</v>
      </c>
      <c r="D186" s="2">
        <v>36</v>
      </c>
    </row>
    <row r="187" spans="1:4" x14ac:dyDescent="0.3">
      <c r="A187" s="9" t="s">
        <v>76</v>
      </c>
      <c r="B187" s="3">
        <v>27</v>
      </c>
      <c r="C187" s="3">
        <v>18</v>
      </c>
      <c r="D187" s="2">
        <v>45</v>
      </c>
    </row>
    <row r="188" spans="1:4" x14ac:dyDescent="0.3">
      <c r="A188" s="9" t="s">
        <v>1599</v>
      </c>
      <c r="B188" s="3">
        <v>1109</v>
      </c>
      <c r="C188" s="3">
        <v>523</v>
      </c>
      <c r="D188" s="2">
        <v>1632</v>
      </c>
    </row>
  </sheetData>
  <mergeCells count="11">
    <mergeCell ref="B2:I3"/>
    <mergeCell ref="A14:C15"/>
    <mergeCell ref="A80:B81"/>
    <mergeCell ref="A149:B150"/>
    <mergeCell ref="A164:B165"/>
    <mergeCell ref="A42:C43"/>
    <mergeCell ref="A95:B96"/>
    <mergeCell ref="A105:B106"/>
    <mergeCell ref="A116:B117"/>
    <mergeCell ref="A127:B128"/>
    <mergeCell ref="A138:B139"/>
  </mergeCells>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36CC-B21B-4A7D-B688-EDEBD6D1C018}">
  <dimension ref="A1:Y690"/>
  <sheetViews>
    <sheetView topLeftCell="I1" workbookViewId="0">
      <selection activeCell="D14" sqref="D14"/>
    </sheetView>
  </sheetViews>
  <sheetFormatPr defaultRowHeight="15.6" x14ac:dyDescent="0.3"/>
  <cols>
    <col min="1" max="1" width="5.296875" bestFit="1" customWidth="1"/>
    <col min="2" max="2" width="13.296875" bestFit="1" customWidth="1"/>
    <col min="3" max="3" width="14.69921875" bestFit="1" customWidth="1"/>
    <col min="4" max="4" width="22.796875" bestFit="1" customWidth="1"/>
    <col min="5" max="5" width="9.09765625" bestFit="1" customWidth="1"/>
    <col min="6" max="6" width="11.3984375" bestFit="1" customWidth="1"/>
    <col min="7" max="7" width="7.3984375" bestFit="1" customWidth="1"/>
    <col min="8" max="8" width="17.8984375" bestFit="1" customWidth="1"/>
    <col min="9" max="9" width="25.5" bestFit="1" customWidth="1"/>
    <col min="10" max="10" width="19.09765625" bestFit="1" customWidth="1"/>
    <col min="11" max="11" width="8.5" bestFit="1" customWidth="1"/>
    <col min="12" max="12" width="15.59765625" bestFit="1" customWidth="1"/>
    <col min="13" max="13" width="19.59765625" bestFit="1" customWidth="1"/>
    <col min="14" max="14" width="14.3984375" bestFit="1" customWidth="1"/>
    <col min="15" max="15" width="21" bestFit="1" customWidth="1"/>
    <col min="16" max="16" width="10.09765625" bestFit="1" customWidth="1"/>
    <col min="17" max="17" width="18.09765625" bestFit="1" customWidth="1"/>
    <col min="18" max="18" width="12.09765625" bestFit="1" customWidth="1"/>
    <col min="19" max="19" width="15.09765625" bestFit="1" customWidth="1"/>
    <col min="20" max="20" width="15.59765625" bestFit="1" customWidth="1"/>
    <col min="21" max="21" width="16.296875" bestFit="1" customWidth="1"/>
    <col min="22" max="22" width="18.69921875" bestFit="1" customWidth="1"/>
  </cols>
  <sheetData>
    <row r="1" spans="1:25" x14ac:dyDescent="0.3">
      <c r="A1" t="s">
        <v>0</v>
      </c>
      <c r="B1" t="s">
        <v>1</v>
      </c>
      <c r="C1" t="s">
        <v>2</v>
      </c>
      <c r="D1" t="s">
        <v>899</v>
      </c>
      <c r="E1" t="s">
        <v>3</v>
      </c>
      <c r="F1" t="s">
        <v>4</v>
      </c>
      <c r="G1" t="s">
        <v>5</v>
      </c>
      <c r="H1" t="s">
        <v>900</v>
      </c>
      <c r="I1" t="s">
        <v>6</v>
      </c>
      <c r="J1" t="s">
        <v>7</v>
      </c>
      <c r="K1" t="s">
        <v>8</v>
      </c>
      <c r="L1" t="s">
        <v>9</v>
      </c>
      <c r="M1" t="s">
        <v>901</v>
      </c>
      <c r="N1" t="s">
        <v>10</v>
      </c>
      <c r="O1" t="s">
        <v>902</v>
      </c>
      <c r="P1" t="s">
        <v>11</v>
      </c>
      <c r="Q1" t="s">
        <v>903</v>
      </c>
      <c r="R1" t="s">
        <v>12</v>
      </c>
      <c r="S1" t="s">
        <v>13</v>
      </c>
      <c r="T1" t="s">
        <v>904</v>
      </c>
      <c r="U1" t="s">
        <v>14</v>
      </c>
      <c r="V1" t="s">
        <v>905</v>
      </c>
    </row>
    <row r="2" spans="1:25" x14ac:dyDescent="0.3">
      <c r="A2">
        <v>1</v>
      </c>
      <c r="B2" s="3" t="s">
        <v>15</v>
      </c>
      <c r="C2" s="3" t="s">
        <v>16</v>
      </c>
      <c r="D2" s="3" t="s">
        <v>906</v>
      </c>
      <c r="E2" s="3" t="s">
        <v>32</v>
      </c>
      <c r="F2" s="1">
        <v>43194</v>
      </c>
      <c r="G2">
        <v>8</v>
      </c>
      <c r="H2" s="3" t="s">
        <v>907</v>
      </c>
      <c r="I2" s="3" t="s">
        <v>17</v>
      </c>
      <c r="J2" s="3" t="s">
        <v>18</v>
      </c>
      <c r="K2" s="3" t="s">
        <v>19</v>
      </c>
      <c r="L2">
        <v>1560</v>
      </c>
      <c r="M2" s="3" t="s">
        <v>908</v>
      </c>
      <c r="N2">
        <v>18720</v>
      </c>
      <c r="O2">
        <v>2340</v>
      </c>
      <c r="P2">
        <v>3</v>
      </c>
      <c r="Q2" s="3" t="s">
        <v>908</v>
      </c>
      <c r="R2">
        <v>1</v>
      </c>
      <c r="S2">
        <v>0</v>
      </c>
      <c r="T2" s="3" t="s">
        <v>909</v>
      </c>
      <c r="U2">
        <v>183</v>
      </c>
      <c r="V2" s="3" t="s">
        <v>910</v>
      </c>
    </row>
    <row r="3" spans="1:25" x14ac:dyDescent="0.3">
      <c r="A3">
        <v>2</v>
      </c>
      <c r="B3" s="3" t="s">
        <v>20</v>
      </c>
      <c r="C3" s="3" t="s">
        <v>21</v>
      </c>
      <c r="D3" s="3" t="s">
        <v>911</v>
      </c>
      <c r="E3" s="3" t="s">
        <v>32</v>
      </c>
      <c r="F3" s="1">
        <v>43972</v>
      </c>
      <c r="G3">
        <v>6</v>
      </c>
      <c r="H3" s="3" t="s">
        <v>912</v>
      </c>
      <c r="I3" s="3" t="s">
        <v>17</v>
      </c>
      <c r="J3" s="3" t="s">
        <v>22</v>
      </c>
      <c r="K3" s="3" t="s">
        <v>19</v>
      </c>
      <c r="L3">
        <v>3247</v>
      </c>
      <c r="M3" s="3" t="s">
        <v>913</v>
      </c>
      <c r="N3">
        <v>38964</v>
      </c>
      <c r="O3">
        <v>6494</v>
      </c>
      <c r="P3">
        <v>1</v>
      </c>
      <c r="Q3" s="3" t="s">
        <v>909</v>
      </c>
      <c r="R3">
        <v>0</v>
      </c>
      <c r="S3">
        <v>5</v>
      </c>
      <c r="T3" s="3" t="s">
        <v>908</v>
      </c>
      <c r="U3">
        <v>198</v>
      </c>
      <c r="V3" s="3" t="s">
        <v>910</v>
      </c>
    </row>
    <row r="4" spans="1:25" x14ac:dyDescent="0.3">
      <c r="A4">
        <v>3</v>
      </c>
      <c r="B4" s="3" t="s">
        <v>23</v>
      </c>
      <c r="C4" s="3" t="s">
        <v>24</v>
      </c>
      <c r="D4" s="3" t="s">
        <v>914</v>
      </c>
      <c r="E4" s="3" t="s">
        <v>307</v>
      </c>
      <c r="F4" s="1">
        <v>43006</v>
      </c>
      <c r="G4">
        <v>8</v>
      </c>
      <c r="H4" s="3" t="s">
        <v>907</v>
      </c>
      <c r="I4" s="3" t="s">
        <v>25</v>
      </c>
      <c r="J4" s="3" t="s">
        <v>22</v>
      </c>
      <c r="K4" s="3" t="s">
        <v>19</v>
      </c>
      <c r="L4">
        <v>2506</v>
      </c>
      <c r="M4" s="3" t="s">
        <v>913</v>
      </c>
      <c r="N4">
        <v>30072</v>
      </c>
      <c r="O4">
        <v>3759</v>
      </c>
      <c r="P4">
        <v>2</v>
      </c>
      <c r="Q4" s="3" t="s">
        <v>909</v>
      </c>
      <c r="R4">
        <v>0</v>
      </c>
      <c r="S4">
        <v>3</v>
      </c>
      <c r="T4" s="3" t="s">
        <v>909</v>
      </c>
      <c r="U4">
        <v>192</v>
      </c>
      <c r="V4" s="3" t="s">
        <v>910</v>
      </c>
    </row>
    <row r="5" spans="1:25" x14ac:dyDescent="0.3">
      <c r="A5">
        <v>4</v>
      </c>
      <c r="B5" s="3" t="s">
        <v>26</v>
      </c>
      <c r="C5" s="3" t="s">
        <v>27</v>
      </c>
      <c r="D5" s="3" t="s">
        <v>915</v>
      </c>
      <c r="E5" s="3" t="s">
        <v>32</v>
      </c>
      <c r="F5" s="1">
        <v>43326</v>
      </c>
      <c r="G5">
        <v>8</v>
      </c>
      <c r="H5" s="3" t="s">
        <v>907</v>
      </c>
      <c r="I5" s="3" t="s">
        <v>28</v>
      </c>
      <c r="J5" s="3" t="s">
        <v>29</v>
      </c>
      <c r="K5" s="3" t="s">
        <v>42</v>
      </c>
      <c r="L5">
        <v>1828</v>
      </c>
      <c r="M5" s="3" t="s">
        <v>908</v>
      </c>
      <c r="N5">
        <v>21936</v>
      </c>
      <c r="O5">
        <v>2742</v>
      </c>
      <c r="P5">
        <v>3</v>
      </c>
      <c r="Q5" s="3" t="s">
        <v>908</v>
      </c>
      <c r="R5">
        <v>0</v>
      </c>
      <c r="S5">
        <v>0</v>
      </c>
      <c r="T5" s="3" t="s">
        <v>916</v>
      </c>
      <c r="U5">
        <v>7</v>
      </c>
      <c r="V5" s="3" t="s">
        <v>917</v>
      </c>
      <c r="X5" s="4"/>
    </row>
    <row r="6" spans="1:25" x14ac:dyDescent="0.3">
      <c r="A6">
        <v>5</v>
      </c>
      <c r="B6" s="3" t="s">
        <v>30</v>
      </c>
      <c r="C6" s="3" t="s">
        <v>31</v>
      </c>
      <c r="D6" s="3" t="s">
        <v>918</v>
      </c>
      <c r="E6" s="3" t="s">
        <v>32</v>
      </c>
      <c r="F6" s="1">
        <v>43901</v>
      </c>
      <c r="G6">
        <v>6</v>
      </c>
      <c r="H6" s="3" t="s">
        <v>912</v>
      </c>
      <c r="I6" s="3" t="s">
        <v>28</v>
      </c>
      <c r="J6" s="3" t="s">
        <v>18</v>
      </c>
      <c r="K6" s="3" t="s">
        <v>42</v>
      </c>
      <c r="L6">
        <v>970</v>
      </c>
      <c r="M6" s="3" t="s">
        <v>909</v>
      </c>
      <c r="N6">
        <v>11640</v>
      </c>
      <c r="O6">
        <v>1940</v>
      </c>
      <c r="P6">
        <v>5</v>
      </c>
      <c r="Q6" s="3" t="s">
        <v>913</v>
      </c>
      <c r="R6">
        <v>0</v>
      </c>
      <c r="S6">
        <v>5</v>
      </c>
      <c r="T6" s="3" t="s">
        <v>908</v>
      </c>
      <c r="U6">
        <v>121</v>
      </c>
      <c r="V6" s="3" t="s">
        <v>910</v>
      </c>
    </row>
    <row r="7" spans="1:25" x14ac:dyDescent="0.3">
      <c r="A7">
        <v>6</v>
      </c>
      <c r="B7" s="3" t="s">
        <v>33</v>
      </c>
      <c r="C7" s="3" t="s">
        <v>34</v>
      </c>
      <c r="D7" s="3" t="s">
        <v>919</v>
      </c>
      <c r="E7" s="3" t="s">
        <v>32</v>
      </c>
      <c r="F7" s="1">
        <v>42402</v>
      </c>
      <c r="G7">
        <v>10</v>
      </c>
      <c r="H7" s="3" t="s">
        <v>920</v>
      </c>
      <c r="I7" s="3" t="s">
        <v>35</v>
      </c>
      <c r="J7" s="3" t="s">
        <v>22</v>
      </c>
      <c r="K7" s="3" t="s">
        <v>36</v>
      </c>
      <c r="L7">
        <v>2332</v>
      </c>
      <c r="M7" s="3" t="s">
        <v>908</v>
      </c>
      <c r="N7">
        <v>27984</v>
      </c>
      <c r="O7">
        <v>2798.4</v>
      </c>
      <c r="P7">
        <v>3</v>
      </c>
      <c r="Q7" s="3" t="s">
        <v>908</v>
      </c>
      <c r="R7">
        <v>3</v>
      </c>
      <c r="S7">
        <v>0</v>
      </c>
      <c r="T7" s="3" t="s">
        <v>909</v>
      </c>
      <c r="U7">
        <v>8</v>
      </c>
      <c r="V7" s="3" t="s">
        <v>917</v>
      </c>
    </row>
    <row r="8" spans="1:25" x14ac:dyDescent="0.3">
      <c r="A8">
        <v>7</v>
      </c>
      <c r="B8" s="3" t="s">
        <v>37</v>
      </c>
      <c r="C8" s="3" t="s">
        <v>38</v>
      </c>
      <c r="D8" s="3" t="s">
        <v>921</v>
      </c>
      <c r="E8" s="3" t="s">
        <v>307</v>
      </c>
      <c r="F8" s="1">
        <v>43959</v>
      </c>
      <c r="G8">
        <v>6</v>
      </c>
      <c r="H8" s="3" t="s">
        <v>912</v>
      </c>
      <c r="I8" s="3" t="s">
        <v>39</v>
      </c>
      <c r="J8" s="3" t="s">
        <v>29</v>
      </c>
      <c r="K8" s="3" t="s">
        <v>42</v>
      </c>
      <c r="L8">
        <v>1959</v>
      </c>
      <c r="M8" s="3" t="s">
        <v>908</v>
      </c>
      <c r="N8">
        <v>23508</v>
      </c>
      <c r="O8">
        <v>3918</v>
      </c>
      <c r="P8">
        <v>3</v>
      </c>
      <c r="Q8" s="3" t="s">
        <v>908</v>
      </c>
      <c r="R8">
        <v>6</v>
      </c>
      <c r="S8">
        <v>0</v>
      </c>
      <c r="T8" s="3" t="s">
        <v>908</v>
      </c>
      <c r="U8">
        <v>116</v>
      </c>
      <c r="V8" s="3" t="s">
        <v>910</v>
      </c>
    </row>
    <row r="9" spans="1:25" x14ac:dyDescent="0.3">
      <c r="A9">
        <v>8</v>
      </c>
      <c r="B9" s="3" t="s">
        <v>33</v>
      </c>
      <c r="C9" s="3" t="s">
        <v>40</v>
      </c>
      <c r="D9" s="3" t="s">
        <v>922</v>
      </c>
      <c r="E9" s="3" t="s">
        <v>32</v>
      </c>
      <c r="F9" s="1">
        <v>43141</v>
      </c>
      <c r="G9">
        <v>8</v>
      </c>
      <c r="H9" s="3" t="s">
        <v>907</v>
      </c>
      <c r="I9" s="3" t="s">
        <v>41</v>
      </c>
      <c r="J9" s="3" t="s">
        <v>18</v>
      </c>
      <c r="K9" s="3" t="s">
        <v>42</v>
      </c>
      <c r="L9">
        <v>3394</v>
      </c>
      <c r="M9" s="3" t="s">
        <v>913</v>
      </c>
      <c r="N9">
        <v>40728</v>
      </c>
      <c r="O9">
        <v>5091</v>
      </c>
      <c r="P9">
        <v>5</v>
      </c>
      <c r="Q9" s="3" t="s">
        <v>913</v>
      </c>
      <c r="R9">
        <v>0</v>
      </c>
      <c r="S9">
        <v>0</v>
      </c>
      <c r="T9" s="3" t="s">
        <v>916</v>
      </c>
      <c r="U9">
        <v>7</v>
      </c>
      <c r="V9" s="3" t="s">
        <v>917</v>
      </c>
    </row>
    <row r="10" spans="1:25" x14ac:dyDescent="0.3">
      <c r="A10">
        <v>9</v>
      </c>
      <c r="B10" s="3" t="s">
        <v>43</v>
      </c>
      <c r="C10" s="3" t="s">
        <v>44</v>
      </c>
      <c r="D10" s="3" t="s">
        <v>923</v>
      </c>
      <c r="E10" s="3" t="s">
        <v>307</v>
      </c>
      <c r="F10" s="1">
        <v>43170</v>
      </c>
      <c r="G10">
        <v>8</v>
      </c>
      <c r="H10" s="3" t="s">
        <v>907</v>
      </c>
      <c r="I10" s="3" t="s">
        <v>45</v>
      </c>
      <c r="J10" s="3" t="s">
        <v>18</v>
      </c>
      <c r="K10" s="3" t="s">
        <v>36</v>
      </c>
      <c r="L10">
        <v>1479</v>
      </c>
      <c r="M10" s="3" t="s">
        <v>909</v>
      </c>
      <c r="N10">
        <v>17748</v>
      </c>
      <c r="O10">
        <v>2218.5</v>
      </c>
      <c r="P10">
        <v>4.5</v>
      </c>
      <c r="Q10" s="3" t="s">
        <v>913</v>
      </c>
      <c r="R10">
        <v>0</v>
      </c>
      <c r="S10">
        <v>0</v>
      </c>
      <c r="T10" s="3" t="s">
        <v>916</v>
      </c>
      <c r="U10">
        <v>105</v>
      </c>
      <c r="V10" s="3" t="s">
        <v>910</v>
      </c>
    </row>
    <row r="11" spans="1:25" x14ac:dyDescent="0.3">
      <c r="A11">
        <v>10</v>
      </c>
      <c r="B11" s="3" t="s">
        <v>33</v>
      </c>
      <c r="C11" s="3" t="s">
        <v>46</v>
      </c>
      <c r="D11" s="3" t="s">
        <v>924</v>
      </c>
      <c r="E11" s="3" t="s">
        <v>32</v>
      </c>
      <c r="F11" s="1">
        <v>43833</v>
      </c>
      <c r="G11">
        <v>6</v>
      </c>
      <c r="H11" s="3" t="s">
        <v>912</v>
      </c>
      <c r="I11" s="3" t="s">
        <v>41</v>
      </c>
      <c r="J11" s="3" t="s">
        <v>18</v>
      </c>
      <c r="K11" s="3" t="s">
        <v>42</v>
      </c>
      <c r="L11">
        <v>1186</v>
      </c>
      <c r="M11" s="3" t="s">
        <v>909</v>
      </c>
      <c r="N11">
        <v>14232</v>
      </c>
      <c r="O11">
        <v>2372</v>
      </c>
      <c r="P11">
        <v>4.5</v>
      </c>
      <c r="Q11" s="3" t="s">
        <v>913</v>
      </c>
      <c r="R11">
        <v>1</v>
      </c>
      <c r="S11">
        <v>0</v>
      </c>
      <c r="T11" s="3" t="s">
        <v>909</v>
      </c>
      <c r="U11">
        <v>153</v>
      </c>
      <c r="V11" s="3" t="s">
        <v>910</v>
      </c>
    </row>
    <row r="12" spans="1:25" x14ac:dyDescent="0.3">
      <c r="A12">
        <v>11</v>
      </c>
      <c r="B12" s="3" t="s">
        <v>33</v>
      </c>
      <c r="C12" s="3" t="s">
        <v>47</v>
      </c>
      <c r="D12" s="3" t="s">
        <v>925</v>
      </c>
      <c r="E12" s="3" t="s">
        <v>32</v>
      </c>
      <c r="F12" s="1">
        <v>43116</v>
      </c>
      <c r="G12">
        <v>8</v>
      </c>
      <c r="H12" s="3" t="s">
        <v>907</v>
      </c>
      <c r="I12" s="3" t="s">
        <v>28</v>
      </c>
      <c r="J12" s="3" t="s">
        <v>48</v>
      </c>
      <c r="K12" s="3" t="s">
        <v>42</v>
      </c>
      <c r="L12">
        <v>1485</v>
      </c>
      <c r="M12" s="3" t="s">
        <v>909</v>
      </c>
      <c r="N12">
        <v>17820</v>
      </c>
      <c r="O12">
        <v>2227.5</v>
      </c>
      <c r="P12">
        <v>2</v>
      </c>
      <c r="Q12" s="3" t="s">
        <v>909</v>
      </c>
      <c r="R12">
        <v>5</v>
      </c>
      <c r="S12">
        <v>0</v>
      </c>
      <c r="T12" s="3" t="s">
        <v>908</v>
      </c>
      <c r="U12">
        <v>12</v>
      </c>
      <c r="V12" s="3" t="s">
        <v>910</v>
      </c>
    </row>
    <row r="13" spans="1:25" x14ac:dyDescent="0.3">
      <c r="A13">
        <v>12</v>
      </c>
      <c r="B13" s="3" t="s">
        <v>33</v>
      </c>
      <c r="C13" s="3" t="s">
        <v>49</v>
      </c>
      <c r="D13" s="3" t="s">
        <v>926</v>
      </c>
      <c r="E13" s="3" t="s">
        <v>32</v>
      </c>
      <c r="F13" s="1">
        <v>43300</v>
      </c>
      <c r="G13">
        <v>8</v>
      </c>
      <c r="H13" s="3" t="s">
        <v>907</v>
      </c>
      <c r="I13" s="3" t="s">
        <v>50</v>
      </c>
      <c r="J13" s="3" t="s">
        <v>18</v>
      </c>
      <c r="K13" s="3" t="s">
        <v>42</v>
      </c>
      <c r="L13">
        <v>2016</v>
      </c>
      <c r="M13" s="3" t="s">
        <v>908</v>
      </c>
      <c r="N13">
        <v>24192</v>
      </c>
      <c r="O13">
        <v>3024</v>
      </c>
      <c r="P13">
        <v>1</v>
      </c>
      <c r="Q13" s="3" t="s">
        <v>909</v>
      </c>
      <c r="R13">
        <v>2</v>
      </c>
      <c r="S13">
        <v>0</v>
      </c>
      <c r="T13" s="3" t="s">
        <v>909</v>
      </c>
      <c r="U13">
        <v>70</v>
      </c>
      <c r="V13" s="3" t="s">
        <v>910</v>
      </c>
      <c r="Y13" s="4"/>
    </row>
    <row r="14" spans="1:25" x14ac:dyDescent="0.3">
      <c r="A14">
        <v>13</v>
      </c>
      <c r="B14" s="3" t="s">
        <v>51</v>
      </c>
      <c r="C14" s="3" t="s">
        <v>52</v>
      </c>
      <c r="D14" s="3" t="s">
        <v>927</v>
      </c>
      <c r="E14" s="3" t="s">
        <v>307</v>
      </c>
      <c r="F14" s="1">
        <v>43415</v>
      </c>
      <c r="G14">
        <v>7</v>
      </c>
      <c r="H14" s="3" t="s">
        <v>907</v>
      </c>
      <c r="I14" s="3" t="s">
        <v>53</v>
      </c>
      <c r="J14" s="3" t="s">
        <v>18</v>
      </c>
      <c r="K14" s="3" t="s">
        <v>42</v>
      </c>
      <c r="L14">
        <v>1999</v>
      </c>
      <c r="M14" s="3" t="s">
        <v>908</v>
      </c>
      <c r="N14">
        <v>23988</v>
      </c>
      <c r="O14">
        <v>3426.8571428571427</v>
      </c>
      <c r="P14">
        <v>5</v>
      </c>
      <c r="Q14" s="3" t="s">
        <v>913</v>
      </c>
      <c r="R14">
        <v>6</v>
      </c>
      <c r="S14">
        <v>0</v>
      </c>
      <c r="T14" s="3" t="s">
        <v>908</v>
      </c>
      <c r="U14">
        <v>85</v>
      </c>
      <c r="V14" s="3" t="s">
        <v>910</v>
      </c>
    </row>
    <row r="15" spans="1:25" x14ac:dyDescent="0.3">
      <c r="A15">
        <v>14</v>
      </c>
      <c r="B15" s="3" t="s">
        <v>54</v>
      </c>
      <c r="C15" s="3" t="s">
        <v>55</v>
      </c>
      <c r="D15" s="3" t="s">
        <v>928</v>
      </c>
      <c r="E15" s="3" t="s">
        <v>307</v>
      </c>
      <c r="F15" s="1">
        <v>42430</v>
      </c>
      <c r="G15">
        <v>10</v>
      </c>
      <c r="H15" s="3" t="s">
        <v>920</v>
      </c>
      <c r="I15" s="3" t="s">
        <v>53</v>
      </c>
      <c r="J15" s="3" t="s">
        <v>29</v>
      </c>
      <c r="K15" s="3" t="s">
        <v>36</v>
      </c>
      <c r="L15">
        <v>3404</v>
      </c>
      <c r="M15" s="3" t="s">
        <v>913</v>
      </c>
      <c r="N15">
        <v>40848</v>
      </c>
      <c r="O15">
        <v>4084.8</v>
      </c>
      <c r="P15">
        <v>5</v>
      </c>
      <c r="Q15" s="3" t="s">
        <v>913</v>
      </c>
      <c r="R15">
        <v>1</v>
      </c>
      <c r="S15">
        <v>0</v>
      </c>
      <c r="T15" s="3" t="s">
        <v>909</v>
      </c>
      <c r="U15">
        <v>8</v>
      </c>
      <c r="V15" s="3" t="s">
        <v>917</v>
      </c>
    </row>
    <row r="16" spans="1:25" x14ac:dyDescent="0.3">
      <c r="A16">
        <v>15</v>
      </c>
      <c r="B16" s="3" t="s">
        <v>56</v>
      </c>
      <c r="C16" s="3" t="s">
        <v>57</v>
      </c>
      <c r="D16" s="3" t="s">
        <v>929</v>
      </c>
      <c r="E16" s="3" t="s">
        <v>307</v>
      </c>
      <c r="F16" s="1">
        <v>43438</v>
      </c>
      <c r="G16">
        <v>7</v>
      </c>
      <c r="H16" s="3" t="s">
        <v>907</v>
      </c>
      <c r="I16" s="3" t="s">
        <v>58</v>
      </c>
      <c r="J16" s="3" t="s">
        <v>18</v>
      </c>
      <c r="K16" s="3" t="s">
        <v>42</v>
      </c>
      <c r="L16">
        <v>889</v>
      </c>
      <c r="M16" s="3" t="s">
        <v>909</v>
      </c>
      <c r="N16">
        <v>10668</v>
      </c>
      <c r="O16">
        <v>1524</v>
      </c>
      <c r="P16">
        <v>3</v>
      </c>
      <c r="Q16" s="3" t="s">
        <v>908</v>
      </c>
      <c r="R16">
        <v>1</v>
      </c>
      <c r="S16">
        <v>1</v>
      </c>
      <c r="T16" s="3" t="s">
        <v>909</v>
      </c>
      <c r="U16">
        <v>8</v>
      </c>
      <c r="V16" s="3" t="s">
        <v>917</v>
      </c>
    </row>
    <row r="17" spans="1:22" x14ac:dyDescent="0.3">
      <c r="A17">
        <v>16</v>
      </c>
      <c r="B17" s="3" t="s">
        <v>59</v>
      </c>
      <c r="C17" s="3" t="s">
        <v>33</v>
      </c>
      <c r="D17" s="3" t="s">
        <v>930</v>
      </c>
      <c r="E17" s="3" t="s">
        <v>32</v>
      </c>
      <c r="F17" s="1">
        <v>43745</v>
      </c>
      <c r="G17">
        <v>6</v>
      </c>
      <c r="H17" s="3" t="s">
        <v>912</v>
      </c>
      <c r="I17" s="3" t="s">
        <v>39</v>
      </c>
      <c r="J17" s="3" t="s">
        <v>18</v>
      </c>
      <c r="K17" s="3" t="s">
        <v>60</v>
      </c>
      <c r="L17">
        <v>930</v>
      </c>
      <c r="M17" s="3" t="s">
        <v>909</v>
      </c>
      <c r="N17">
        <v>11160</v>
      </c>
      <c r="O17">
        <v>1860</v>
      </c>
      <c r="P17">
        <v>3</v>
      </c>
      <c r="Q17" s="3" t="s">
        <v>908</v>
      </c>
      <c r="R17">
        <v>0</v>
      </c>
      <c r="S17">
        <v>0</v>
      </c>
      <c r="T17" s="3" t="s">
        <v>916</v>
      </c>
      <c r="U17">
        <v>77</v>
      </c>
      <c r="V17" s="3" t="s">
        <v>910</v>
      </c>
    </row>
    <row r="18" spans="1:22" x14ac:dyDescent="0.3">
      <c r="A18">
        <v>17</v>
      </c>
      <c r="B18" s="3" t="s">
        <v>61</v>
      </c>
      <c r="C18" s="3" t="s">
        <v>62</v>
      </c>
      <c r="D18" s="3" t="s">
        <v>931</v>
      </c>
      <c r="E18" s="3" t="s">
        <v>307</v>
      </c>
      <c r="F18" s="1">
        <v>42517</v>
      </c>
      <c r="G18">
        <v>10</v>
      </c>
      <c r="H18" s="3" t="s">
        <v>920</v>
      </c>
      <c r="I18" s="3" t="s">
        <v>41</v>
      </c>
      <c r="J18" s="3" t="s">
        <v>22</v>
      </c>
      <c r="K18" s="3" t="s">
        <v>19</v>
      </c>
      <c r="L18">
        <v>3149</v>
      </c>
      <c r="M18" s="3" t="s">
        <v>913</v>
      </c>
      <c r="N18">
        <v>37788</v>
      </c>
      <c r="O18">
        <v>3778.8</v>
      </c>
      <c r="P18">
        <v>4.5</v>
      </c>
      <c r="Q18" s="3" t="s">
        <v>913</v>
      </c>
      <c r="R18">
        <v>0</v>
      </c>
      <c r="S18">
        <v>0</v>
      </c>
      <c r="T18" s="3" t="s">
        <v>916</v>
      </c>
      <c r="U18">
        <v>93</v>
      </c>
      <c r="V18" s="3" t="s">
        <v>910</v>
      </c>
    </row>
    <row r="19" spans="1:22" x14ac:dyDescent="0.3">
      <c r="A19">
        <v>18</v>
      </c>
      <c r="B19" s="3" t="s">
        <v>63</v>
      </c>
      <c r="C19" s="3" t="s">
        <v>64</v>
      </c>
      <c r="D19" s="3" t="s">
        <v>932</v>
      </c>
      <c r="E19" s="3" t="s">
        <v>32</v>
      </c>
      <c r="F19" s="1">
        <v>43232</v>
      </c>
      <c r="G19">
        <v>8</v>
      </c>
      <c r="H19" s="3" t="s">
        <v>907</v>
      </c>
      <c r="I19" s="3" t="s">
        <v>17</v>
      </c>
      <c r="J19" s="3" t="s">
        <v>29</v>
      </c>
      <c r="K19" s="3" t="s">
        <v>19</v>
      </c>
      <c r="L19">
        <v>1295</v>
      </c>
      <c r="M19" s="3" t="s">
        <v>909</v>
      </c>
      <c r="N19">
        <v>15540</v>
      </c>
      <c r="O19">
        <v>1942.5</v>
      </c>
      <c r="P19">
        <v>3</v>
      </c>
      <c r="Q19" s="3" t="s">
        <v>908</v>
      </c>
      <c r="R19">
        <v>4</v>
      </c>
      <c r="S19">
        <v>0</v>
      </c>
      <c r="T19" s="3" t="s">
        <v>908</v>
      </c>
      <c r="U19">
        <v>153</v>
      </c>
      <c r="V19" s="3" t="s">
        <v>910</v>
      </c>
    </row>
    <row r="20" spans="1:22" x14ac:dyDescent="0.3">
      <c r="A20">
        <v>19</v>
      </c>
      <c r="B20" s="3" t="s">
        <v>65</v>
      </c>
      <c r="C20" s="3" t="s">
        <v>66</v>
      </c>
      <c r="D20" s="3" t="s">
        <v>933</v>
      </c>
      <c r="E20" s="3" t="s">
        <v>307</v>
      </c>
      <c r="F20" s="1">
        <v>43214</v>
      </c>
      <c r="G20">
        <v>8</v>
      </c>
      <c r="H20" s="3" t="s">
        <v>907</v>
      </c>
      <c r="I20" s="3" t="s">
        <v>17</v>
      </c>
      <c r="J20" s="3" t="s">
        <v>29</v>
      </c>
      <c r="K20" s="3" t="s">
        <v>60</v>
      </c>
      <c r="L20">
        <v>2162</v>
      </c>
      <c r="M20" s="3" t="s">
        <v>908</v>
      </c>
      <c r="N20">
        <v>25944</v>
      </c>
      <c r="O20">
        <v>3243</v>
      </c>
      <c r="P20">
        <v>3</v>
      </c>
      <c r="Q20" s="3" t="s">
        <v>908</v>
      </c>
      <c r="R20">
        <v>0</v>
      </c>
      <c r="S20">
        <v>0</v>
      </c>
      <c r="T20" s="3" t="s">
        <v>916</v>
      </c>
      <c r="U20">
        <v>8</v>
      </c>
      <c r="V20" s="3" t="s">
        <v>917</v>
      </c>
    </row>
    <row r="21" spans="1:22" x14ac:dyDescent="0.3">
      <c r="A21">
        <v>20</v>
      </c>
      <c r="B21" s="3" t="s">
        <v>67</v>
      </c>
      <c r="C21" s="3" t="s">
        <v>68</v>
      </c>
      <c r="D21" s="3" t="s">
        <v>934</v>
      </c>
      <c r="E21" s="3" t="s">
        <v>32</v>
      </c>
      <c r="F21" s="1">
        <v>43740</v>
      </c>
      <c r="G21">
        <v>6</v>
      </c>
      <c r="H21" s="3" t="s">
        <v>912</v>
      </c>
      <c r="I21" s="3" t="s">
        <v>35</v>
      </c>
      <c r="J21" s="3" t="s">
        <v>29</v>
      </c>
      <c r="K21" s="3" t="s">
        <v>19</v>
      </c>
      <c r="L21">
        <v>2180</v>
      </c>
      <c r="M21" s="3" t="s">
        <v>908</v>
      </c>
      <c r="N21">
        <v>26160</v>
      </c>
      <c r="O21">
        <v>4360</v>
      </c>
      <c r="P21">
        <v>2</v>
      </c>
      <c r="Q21" s="3" t="s">
        <v>909</v>
      </c>
      <c r="R21">
        <v>6</v>
      </c>
      <c r="S21">
        <v>0</v>
      </c>
      <c r="T21" s="3" t="s">
        <v>908</v>
      </c>
      <c r="U21">
        <v>10</v>
      </c>
      <c r="V21" s="3" t="s">
        <v>917</v>
      </c>
    </row>
    <row r="22" spans="1:22" x14ac:dyDescent="0.3">
      <c r="A22">
        <v>21</v>
      </c>
      <c r="B22" s="3" t="s">
        <v>69</v>
      </c>
      <c r="C22" s="3" t="s">
        <v>70</v>
      </c>
      <c r="D22" s="3" t="s">
        <v>935</v>
      </c>
      <c r="E22" s="3" t="s">
        <v>32</v>
      </c>
      <c r="F22" s="1">
        <v>44168</v>
      </c>
      <c r="G22">
        <v>5</v>
      </c>
      <c r="H22" s="3" t="s">
        <v>912</v>
      </c>
      <c r="I22" s="3" t="s">
        <v>41</v>
      </c>
      <c r="J22" s="3" t="s">
        <v>18</v>
      </c>
      <c r="K22" s="3" t="s">
        <v>42</v>
      </c>
      <c r="L22">
        <v>1475</v>
      </c>
      <c r="M22" s="3" t="s">
        <v>909</v>
      </c>
      <c r="N22">
        <v>17700</v>
      </c>
      <c r="O22">
        <v>3540</v>
      </c>
      <c r="P22">
        <v>5</v>
      </c>
      <c r="Q22" s="3" t="s">
        <v>913</v>
      </c>
      <c r="R22">
        <v>0</v>
      </c>
      <c r="S22">
        <v>0</v>
      </c>
      <c r="T22" s="3" t="s">
        <v>916</v>
      </c>
      <c r="U22">
        <v>98</v>
      </c>
      <c r="V22" s="3" t="s">
        <v>910</v>
      </c>
    </row>
    <row r="23" spans="1:22" x14ac:dyDescent="0.3">
      <c r="A23">
        <v>22</v>
      </c>
      <c r="B23" s="3" t="s">
        <v>71</v>
      </c>
      <c r="C23" s="3" t="s">
        <v>72</v>
      </c>
      <c r="D23" s="3" t="s">
        <v>936</v>
      </c>
      <c r="E23" s="3" t="s">
        <v>32</v>
      </c>
      <c r="F23" s="1">
        <v>43473</v>
      </c>
      <c r="G23">
        <v>7</v>
      </c>
      <c r="H23" s="3" t="s">
        <v>907</v>
      </c>
      <c r="I23" s="3" t="s">
        <v>73</v>
      </c>
      <c r="J23" s="3" t="s">
        <v>18</v>
      </c>
      <c r="K23" s="3" t="s">
        <v>42</v>
      </c>
      <c r="L23">
        <v>1290</v>
      </c>
      <c r="M23" s="3" t="s">
        <v>909</v>
      </c>
      <c r="N23">
        <v>15480</v>
      </c>
      <c r="O23">
        <v>2211.4285714285716</v>
      </c>
      <c r="P23">
        <v>3</v>
      </c>
      <c r="Q23" s="3" t="s">
        <v>908</v>
      </c>
      <c r="R23">
        <v>4</v>
      </c>
      <c r="S23">
        <v>0</v>
      </c>
      <c r="T23" s="3" t="s">
        <v>908</v>
      </c>
      <c r="U23">
        <v>109</v>
      </c>
      <c r="V23" s="3" t="s">
        <v>910</v>
      </c>
    </row>
    <row r="24" spans="1:22" x14ac:dyDescent="0.3">
      <c r="A24">
        <v>23</v>
      </c>
      <c r="B24" s="3" t="s">
        <v>74</v>
      </c>
      <c r="C24" s="3" t="s">
        <v>75</v>
      </c>
      <c r="D24" s="3" t="s">
        <v>937</v>
      </c>
      <c r="E24" s="3" t="s">
        <v>32</v>
      </c>
      <c r="F24" s="1">
        <v>43783</v>
      </c>
      <c r="G24">
        <v>6</v>
      </c>
      <c r="H24" s="3" t="s">
        <v>912</v>
      </c>
      <c r="I24" s="3" t="s">
        <v>76</v>
      </c>
      <c r="J24" s="3" t="s">
        <v>22</v>
      </c>
      <c r="K24" s="3" t="s">
        <v>42</v>
      </c>
      <c r="L24">
        <v>1764</v>
      </c>
      <c r="M24" s="3" t="s">
        <v>908</v>
      </c>
      <c r="N24">
        <v>21168</v>
      </c>
      <c r="O24">
        <v>3528</v>
      </c>
      <c r="P24">
        <v>3</v>
      </c>
      <c r="Q24" s="3" t="s">
        <v>908</v>
      </c>
      <c r="R24">
        <v>0</v>
      </c>
      <c r="S24">
        <v>0</v>
      </c>
      <c r="T24" s="3" t="s">
        <v>916</v>
      </c>
      <c r="U24">
        <v>111</v>
      </c>
      <c r="V24" s="3" t="s">
        <v>910</v>
      </c>
    </row>
    <row r="25" spans="1:22" x14ac:dyDescent="0.3">
      <c r="A25">
        <v>24</v>
      </c>
      <c r="B25" s="3" t="s">
        <v>30</v>
      </c>
      <c r="C25" s="3" t="s">
        <v>30</v>
      </c>
      <c r="D25" s="3" t="s">
        <v>938</v>
      </c>
      <c r="E25" s="3" t="s">
        <v>32</v>
      </c>
      <c r="F25" s="1">
        <v>43755</v>
      </c>
      <c r="G25">
        <v>6</v>
      </c>
      <c r="H25" s="3" t="s">
        <v>912</v>
      </c>
      <c r="I25" s="3" t="s">
        <v>77</v>
      </c>
      <c r="J25" s="3" t="s">
        <v>22</v>
      </c>
      <c r="K25" s="3" t="s">
        <v>19</v>
      </c>
      <c r="L25">
        <v>2682</v>
      </c>
      <c r="M25" s="3" t="s">
        <v>913</v>
      </c>
      <c r="N25">
        <v>32184</v>
      </c>
      <c r="O25">
        <v>5364</v>
      </c>
      <c r="P25">
        <v>4.5</v>
      </c>
      <c r="Q25" s="3" t="s">
        <v>913</v>
      </c>
      <c r="R25">
        <v>1</v>
      </c>
      <c r="S25">
        <v>0</v>
      </c>
      <c r="T25" s="3" t="s">
        <v>909</v>
      </c>
      <c r="U25">
        <v>32</v>
      </c>
      <c r="V25" s="3" t="s">
        <v>910</v>
      </c>
    </row>
    <row r="26" spans="1:22" x14ac:dyDescent="0.3">
      <c r="A26">
        <v>25</v>
      </c>
      <c r="B26" s="3" t="s">
        <v>33</v>
      </c>
      <c r="C26" s="3" t="s">
        <v>78</v>
      </c>
      <c r="D26" s="3" t="s">
        <v>939</v>
      </c>
      <c r="E26" s="3" t="s">
        <v>32</v>
      </c>
      <c r="F26" s="1">
        <v>44178</v>
      </c>
      <c r="G26">
        <v>5</v>
      </c>
      <c r="H26" s="3" t="s">
        <v>912</v>
      </c>
      <c r="I26" s="3" t="s">
        <v>50</v>
      </c>
      <c r="J26" s="3" t="s">
        <v>18</v>
      </c>
      <c r="K26" s="3" t="s">
        <v>36</v>
      </c>
      <c r="L26">
        <v>3044</v>
      </c>
      <c r="M26" s="3" t="s">
        <v>913</v>
      </c>
      <c r="N26">
        <v>36528</v>
      </c>
      <c r="O26">
        <v>7305.6</v>
      </c>
      <c r="P26">
        <v>3</v>
      </c>
      <c r="Q26" s="3" t="s">
        <v>908</v>
      </c>
      <c r="R26">
        <v>6</v>
      </c>
      <c r="S26">
        <v>0</v>
      </c>
      <c r="T26" s="3" t="s">
        <v>908</v>
      </c>
      <c r="U26">
        <v>94</v>
      </c>
      <c r="V26" s="3" t="s">
        <v>910</v>
      </c>
    </row>
    <row r="27" spans="1:22" x14ac:dyDescent="0.3">
      <c r="A27">
        <v>26</v>
      </c>
      <c r="B27" s="3" t="s">
        <v>79</v>
      </c>
      <c r="C27" s="3" t="s">
        <v>80</v>
      </c>
      <c r="D27" s="3" t="s">
        <v>940</v>
      </c>
      <c r="E27" s="3" t="s">
        <v>307</v>
      </c>
      <c r="F27" s="1">
        <v>44045</v>
      </c>
      <c r="G27">
        <v>6</v>
      </c>
      <c r="H27" s="3" t="s">
        <v>912</v>
      </c>
      <c r="I27" s="3" t="s">
        <v>35</v>
      </c>
      <c r="J27" s="3" t="s">
        <v>18</v>
      </c>
      <c r="K27" s="3" t="s">
        <v>42</v>
      </c>
      <c r="L27">
        <v>890</v>
      </c>
      <c r="M27" s="3" t="s">
        <v>909</v>
      </c>
      <c r="N27">
        <v>10680</v>
      </c>
      <c r="O27">
        <v>1780</v>
      </c>
      <c r="P27">
        <v>4.5</v>
      </c>
      <c r="Q27" s="3" t="s">
        <v>913</v>
      </c>
      <c r="R27">
        <v>0</v>
      </c>
      <c r="S27">
        <v>0</v>
      </c>
      <c r="T27" s="3" t="s">
        <v>916</v>
      </c>
      <c r="U27">
        <v>13</v>
      </c>
      <c r="V27" s="3" t="s">
        <v>910</v>
      </c>
    </row>
    <row r="28" spans="1:22" x14ac:dyDescent="0.3">
      <c r="A28">
        <v>27</v>
      </c>
      <c r="B28" s="3" t="s">
        <v>72</v>
      </c>
      <c r="C28" s="3" t="s">
        <v>81</v>
      </c>
      <c r="D28" s="3" t="s">
        <v>941</v>
      </c>
      <c r="E28" s="3" t="s">
        <v>32</v>
      </c>
      <c r="F28" s="1">
        <v>43437</v>
      </c>
      <c r="G28">
        <v>7</v>
      </c>
      <c r="H28" s="3" t="s">
        <v>907</v>
      </c>
      <c r="I28" s="3" t="s">
        <v>17</v>
      </c>
      <c r="J28" s="3" t="s">
        <v>18</v>
      </c>
      <c r="K28" s="3" t="s">
        <v>19</v>
      </c>
      <c r="L28">
        <v>2207</v>
      </c>
      <c r="M28" s="3" t="s">
        <v>908</v>
      </c>
      <c r="N28">
        <v>26484</v>
      </c>
      <c r="O28">
        <v>3783.4285714285716</v>
      </c>
      <c r="P28">
        <v>5</v>
      </c>
      <c r="Q28" s="3" t="s">
        <v>913</v>
      </c>
      <c r="R28">
        <v>0</v>
      </c>
      <c r="S28">
        <v>0</v>
      </c>
      <c r="T28" s="3" t="s">
        <v>916</v>
      </c>
      <c r="U28">
        <v>70</v>
      </c>
      <c r="V28" s="3" t="s">
        <v>910</v>
      </c>
    </row>
    <row r="29" spans="1:22" x14ac:dyDescent="0.3">
      <c r="A29">
        <v>28</v>
      </c>
      <c r="B29" s="3" t="s">
        <v>82</v>
      </c>
      <c r="C29" s="3" t="s">
        <v>83</v>
      </c>
      <c r="D29" s="3" t="s">
        <v>942</v>
      </c>
      <c r="E29" s="3" t="s">
        <v>307</v>
      </c>
      <c r="F29" s="1">
        <v>43530</v>
      </c>
      <c r="G29">
        <v>7</v>
      </c>
      <c r="H29" s="3" t="s">
        <v>907</v>
      </c>
      <c r="I29" s="3" t="s">
        <v>28</v>
      </c>
      <c r="J29" s="3" t="s">
        <v>22</v>
      </c>
      <c r="K29" s="3" t="s">
        <v>19</v>
      </c>
      <c r="L29">
        <v>2136</v>
      </c>
      <c r="M29" s="3" t="s">
        <v>908</v>
      </c>
      <c r="N29">
        <v>25632</v>
      </c>
      <c r="O29">
        <v>3661.7142857142858</v>
      </c>
      <c r="P29">
        <v>4.5</v>
      </c>
      <c r="Q29" s="3" t="s">
        <v>913</v>
      </c>
      <c r="R29">
        <v>1</v>
      </c>
      <c r="S29">
        <v>0</v>
      </c>
      <c r="T29" s="3" t="s">
        <v>909</v>
      </c>
      <c r="U29">
        <v>9</v>
      </c>
      <c r="V29" s="3" t="s">
        <v>917</v>
      </c>
    </row>
    <row r="30" spans="1:22" x14ac:dyDescent="0.3">
      <c r="A30">
        <v>29</v>
      </c>
      <c r="B30" s="3" t="s">
        <v>84</v>
      </c>
      <c r="C30" s="3" t="s">
        <v>85</v>
      </c>
      <c r="D30" s="3" t="s">
        <v>943</v>
      </c>
      <c r="E30" s="3" t="s">
        <v>307</v>
      </c>
      <c r="F30" s="1">
        <v>43815</v>
      </c>
      <c r="G30">
        <v>6</v>
      </c>
      <c r="H30" s="3" t="s">
        <v>912</v>
      </c>
      <c r="I30" s="3" t="s">
        <v>17</v>
      </c>
      <c r="J30" s="3" t="s">
        <v>18</v>
      </c>
      <c r="K30" s="3" t="s">
        <v>42</v>
      </c>
      <c r="L30">
        <v>1161</v>
      </c>
      <c r="M30" s="3" t="s">
        <v>909</v>
      </c>
      <c r="N30">
        <v>13932</v>
      </c>
      <c r="O30">
        <v>2322</v>
      </c>
      <c r="P30">
        <v>5</v>
      </c>
      <c r="Q30" s="3" t="s">
        <v>913</v>
      </c>
      <c r="R30">
        <v>0</v>
      </c>
      <c r="S30">
        <v>1</v>
      </c>
      <c r="T30" s="3" t="s">
        <v>909</v>
      </c>
      <c r="U30">
        <v>97</v>
      </c>
      <c r="V30" s="3" t="s">
        <v>910</v>
      </c>
    </row>
    <row r="31" spans="1:22" x14ac:dyDescent="0.3">
      <c r="A31">
        <v>30</v>
      </c>
      <c r="B31" s="3" t="s">
        <v>86</v>
      </c>
      <c r="C31" s="3" t="s">
        <v>87</v>
      </c>
      <c r="D31" s="3" t="s">
        <v>944</v>
      </c>
      <c r="E31" s="3" t="s">
        <v>32</v>
      </c>
      <c r="F31" s="1">
        <v>43690</v>
      </c>
      <c r="G31">
        <v>7</v>
      </c>
      <c r="H31" s="3" t="s">
        <v>907</v>
      </c>
      <c r="I31" s="3" t="s">
        <v>88</v>
      </c>
      <c r="J31" s="3" t="s">
        <v>29</v>
      </c>
      <c r="K31" s="3" t="s">
        <v>19</v>
      </c>
      <c r="L31">
        <v>830</v>
      </c>
      <c r="M31" s="3" t="s">
        <v>909</v>
      </c>
      <c r="N31">
        <v>9960</v>
      </c>
      <c r="O31">
        <v>1422.8571428571429</v>
      </c>
      <c r="P31">
        <v>5</v>
      </c>
      <c r="Q31" s="3" t="s">
        <v>913</v>
      </c>
      <c r="R31">
        <v>0</v>
      </c>
      <c r="S31">
        <v>0</v>
      </c>
      <c r="T31" s="3" t="s">
        <v>916</v>
      </c>
      <c r="U31">
        <v>71</v>
      </c>
      <c r="V31" s="3" t="s">
        <v>910</v>
      </c>
    </row>
    <row r="32" spans="1:22" x14ac:dyDescent="0.3">
      <c r="A32">
        <v>31</v>
      </c>
      <c r="B32" s="3" t="s">
        <v>89</v>
      </c>
      <c r="C32" s="3" t="s">
        <v>90</v>
      </c>
      <c r="D32" s="3" t="s">
        <v>945</v>
      </c>
      <c r="E32" s="3" t="s">
        <v>307</v>
      </c>
      <c r="F32" s="1">
        <v>43991</v>
      </c>
      <c r="G32">
        <v>6</v>
      </c>
      <c r="H32" s="3" t="s">
        <v>912</v>
      </c>
      <c r="I32" s="3" t="s">
        <v>77</v>
      </c>
      <c r="J32" s="3" t="s">
        <v>22</v>
      </c>
      <c r="K32" s="3" t="s">
        <v>19</v>
      </c>
      <c r="L32">
        <v>2977</v>
      </c>
      <c r="M32" s="3" t="s">
        <v>913</v>
      </c>
      <c r="N32">
        <v>35724</v>
      </c>
      <c r="O32">
        <v>5954</v>
      </c>
      <c r="P32">
        <v>5</v>
      </c>
      <c r="Q32" s="3" t="s">
        <v>913</v>
      </c>
      <c r="R32">
        <v>0</v>
      </c>
      <c r="S32">
        <v>0</v>
      </c>
      <c r="T32" s="3" t="s">
        <v>916</v>
      </c>
      <c r="U32">
        <v>100</v>
      </c>
      <c r="V32" s="3" t="s">
        <v>910</v>
      </c>
    </row>
    <row r="33" spans="1:22" x14ac:dyDescent="0.3">
      <c r="A33">
        <v>32</v>
      </c>
      <c r="B33" s="3" t="s">
        <v>91</v>
      </c>
      <c r="C33" s="3" t="s">
        <v>92</v>
      </c>
      <c r="D33" s="3" t="s">
        <v>946</v>
      </c>
      <c r="E33" s="3" t="s">
        <v>32</v>
      </c>
      <c r="F33" s="1">
        <v>43604</v>
      </c>
      <c r="G33">
        <v>7</v>
      </c>
      <c r="H33" s="3" t="s">
        <v>907</v>
      </c>
      <c r="I33" s="3" t="s">
        <v>93</v>
      </c>
      <c r="J33" s="3" t="s">
        <v>48</v>
      </c>
      <c r="K33" s="3" t="s">
        <v>36</v>
      </c>
      <c r="L33">
        <v>3151</v>
      </c>
      <c r="M33" s="3" t="s">
        <v>913</v>
      </c>
      <c r="N33">
        <v>37812</v>
      </c>
      <c r="O33">
        <v>5401.7142857142853</v>
      </c>
      <c r="P33">
        <v>3</v>
      </c>
      <c r="Q33" s="3" t="s">
        <v>908</v>
      </c>
      <c r="R33">
        <v>0</v>
      </c>
      <c r="S33">
        <v>5</v>
      </c>
      <c r="T33" s="3" t="s">
        <v>908</v>
      </c>
      <c r="U33">
        <v>48</v>
      </c>
      <c r="V33" s="3" t="s">
        <v>910</v>
      </c>
    </row>
    <row r="34" spans="1:22" x14ac:dyDescent="0.3">
      <c r="A34">
        <v>33</v>
      </c>
      <c r="B34" s="3" t="s">
        <v>33</v>
      </c>
      <c r="C34" s="3" t="s">
        <v>94</v>
      </c>
      <c r="D34" s="3" t="s">
        <v>947</v>
      </c>
      <c r="E34" s="3" t="s">
        <v>32</v>
      </c>
      <c r="F34" s="1">
        <v>42858</v>
      </c>
      <c r="G34">
        <v>9</v>
      </c>
      <c r="H34" s="3" t="s">
        <v>920</v>
      </c>
      <c r="I34" s="3" t="s">
        <v>77</v>
      </c>
      <c r="J34" s="3" t="s">
        <v>18</v>
      </c>
      <c r="K34" s="3" t="s">
        <v>36</v>
      </c>
      <c r="L34">
        <v>1551</v>
      </c>
      <c r="M34" s="3" t="s">
        <v>908</v>
      </c>
      <c r="N34">
        <v>18612</v>
      </c>
      <c r="O34">
        <v>2068</v>
      </c>
      <c r="P34">
        <v>1</v>
      </c>
      <c r="Q34" s="3" t="s">
        <v>909</v>
      </c>
      <c r="R34">
        <v>0</v>
      </c>
      <c r="S34">
        <v>0</v>
      </c>
      <c r="T34" s="3" t="s">
        <v>916</v>
      </c>
      <c r="U34">
        <v>148</v>
      </c>
      <c r="V34" s="3" t="s">
        <v>910</v>
      </c>
    </row>
    <row r="35" spans="1:22" x14ac:dyDescent="0.3">
      <c r="A35">
        <v>34</v>
      </c>
      <c r="B35" s="3" t="s">
        <v>95</v>
      </c>
      <c r="C35" s="3" t="s">
        <v>96</v>
      </c>
      <c r="D35" s="3" t="s">
        <v>948</v>
      </c>
      <c r="E35" s="3" t="s">
        <v>32</v>
      </c>
      <c r="F35" s="1">
        <v>42907</v>
      </c>
      <c r="G35">
        <v>9</v>
      </c>
      <c r="H35" s="3" t="s">
        <v>920</v>
      </c>
      <c r="I35" s="3" t="s">
        <v>35</v>
      </c>
      <c r="J35" s="3" t="s">
        <v>29</v>
      </c>
      <c r="K35" s="3" t="s">
        <v>60</v>
      </c>
      <c r="L35">
        <v>2099</v>
      </c>
      <c r="M35" s="3" t="s">
        <v>908</v>
      </c>
      <c r="N35">
        <v>25188</v>
      </c>
      <c r="O35">
        <v>2798.6666666666665</v>
      </c>
      <c r="P35">
        <v>1</v>
      </c>
      <c r="Q35" s="3" t="s">
        <v>909</v>
      </c>
      <c r="R35">
        <v>0</v>
      </c>
      <c r="S35">
        <v>0</v>
      </c>
      <c r="T35" s="3" t="s">
        <v>916</v>
      </c>
      <c r="U35">
        <v>5</v>
      </c>
      <c r="V35" s="3" t="s">
        <v>917</v>
      </c>
    </row>
    <row r="36" spans="1:22" x14ac:dyDescent="0.3">
      <c r="A36">
        <v>35</v>
      </c>
      <c r="B36" s="3" t="s">
        <v>30</v>
      </c>
      <c r="C36" s="3" t="s">
        <v>97</v>
      </c>
      <c r="D36" s="3" t="s">
        <v>949</v>
      </c>
      <c r="E36" s="3" t="s">
        <v>32</v>
      </c>
      <c r="F36" s="1">
        <v>42767</v>
      </c>
      <c r="G36">
        <v>9</v>
      </c>
      <c r="H36" s="3" t="s">
        <v>920</v>
      </c>
      <c r="I36" s="3" t="s">
        <v>39</v>
      </c>
      <c r="J36" s="3" t="s">
        <v>18</v>
      </c>
      <c r="K36" s="3" t="s">
        <v>36</v>
      </c>
      <c r="L36">
        <v>808</v>
      </c>
      <c r="M36" s="3" t="s">
        <v>909</v>
      </c>
      <c r="N36">
        <v>9696</v>
      </c>
      <c r="O36">
        <v>1077.3333333333333</v>
      </c>
      <c r="P36">
        <v>4.5</v>
      </c>
      <c r="Q36" s="3" t="s">
        <v>913</v>
      </c>
      <c r="R36">
        <v>1</v>
      </c>
      <c r="S36">
        <v>0</v>
      </c>
      <c r="T36" s="3" t="s">
        <v>909</v>
      </c>
      <c r="U36">
        <v>7</v>
      </c>
      <c r="V36" s="3" t="s">
        <v>917</v>
      </c>
    </row>
    <row r="37" spans="1:22" x14ac:dyDescent="0.3">
      <c r="A37">
        <v>36</v>
      </c>
      <c r="B37" s="3" t="s">
        <v>33</v>
      </c>
      <c r="C37" s="3" t="s">
        <v>98</v>
      </c>
      <c r="D37" s="3" t="s">
        <v>950</v>
      </c>
      <c r="E37" s="3" t="s">
        <v>32</v>
      </c>
      <c r="F37" s="1">
        <v>43731</v>
      </c>
      <c r="G37">
        <v>6</v>
      </c>
      <c r="H37" s="3" t="s">
        <v>912</v>
      </c>
      <c r="I37" s="3" t="s">
        <v>28</v>
      </c>
      <c r="J37" s="3" t="s">
        <v>22</v>
      </c>
      <c r="K37" s="3" t="s">
        <v>42</v>
      </c>
      <c r="L37">
        <v>984</v>
      </c>
      <c r="M37" s="3" t="s">
        <v>909</v>
      </c>
      <c r="N37">
        <v>11808</v>
      </c>
      <c r="O37">
        <v>1968</v>
      </c>
      <c r="P37">
        <v>4.5</v>
      </c>
      <c r="Q37" s="3" t="s">
        <v>913</v>
      </c>
      <c r="R37">
        <v>6</v>
      </c>
      <c r="S37">
        <v>0</v>
      </c>
      <c r="T37" s="3" t="s">
        <v>908</v>
      </c>
      <c r="U37">
        <v>37</v>
      </c>
      <c r="V37" s="3" t="s">
        <v>910</v>
      </c>
    </row>
    <row r="38" spans="1:22" x14ac:dyDescent="0.3">
      <c r="A38">
        <v>37</v>
      </c>
      <c r="B38" s="3" t="s">
        <v>99</v>
      </c>
      <c r="C38" s="3" t="s">
        <v>100</v>
      </c>
      <c r="D38" s="3" t="s">
        <v>951</v>
      </c>
      <c r="E38" s="3" t="s">
        <v>307</v>
      </c>
      <c r="F38" s="1">
        <v>42396</v>
      </c>
      <c r="G38">
        <v>10</v>
      </c>
      <c r="H38" s="3" t="s">
        <v>920</v>
      </c>
      <c r="I38" s="3" t="s">
        <v>77</v>
      </c>
      <c r="J38" s="3" t="s">
        <v>18</v>
      </c>
      <c r="K38" s="3" t="s">
        <v>36</v>
      </c>
      <c r="L38">
        <v>1011</v>
      </c>
      <c r="M38" s="3" t="s">
        <v>909</v>
      </c>
      <c r="N38">
        <v>12132</v>
      </c>
      <c r="O38">
        <v>1213.2</v>
      </c>
      <c r="P38">
        <v>5</v>
      </c>
      <c r="Q38" s="3" t="s">
        <v>913</v>
      </c>
      <c r="R38">
        <v>0</v>
      </c>
      <c r="S38">
        <v>3</v>
      </c>
      <c r="T38" s="3" t="s">
        <v>909</v>
      </c>
      <c r="U38">
        <v>5</v>
      </c>
      <c r="V38" s="3" t="s">
        <v>917</v>
      </c>
    </row>
    <row r="39" spans="1:22" x14ac:dyDescent="0.3">
      <c r="A39">
        <v>38</v>
      </c>
      <c r="B39" s="3" t="s">
        <v>101</v>
      </c>
      <c r="C39" s="3" t="s">
        <v>102</v>
      </c>
      <c r="D39" s="3" t="s">
        <v>952</v>
      </c>
      <c r="E39" s="3" t="s">
        <v>307</v>
      </c>
      <c r="F39" s="1">
        <v>44164</v>
      </c>
      <c r="G39">
        <v>5</v>
      </c>
      <c r="H39" s="3" t="s">
        <v>912</v>
      </c>
      <c r="I39" s="3" t="s">
        <v>17</v>
      </c>
      <c r="J39" s="3" t="s">
        <v>29</v>
      </c>
      <c r="K39" s="3" t="s">
        <v>19</v>
      </c>
      <c r="L39">
        <v>2026</v>
      </c>
      <c r="M39" s="3" t="s">
        <v>908</v>
      </c>
      <c r="N39">
        <v>24312</v>
      </c>
      <c r="O39">
        <v>4862.3999999999996</v>
      </c>
      <c r="P39">
        <v>5</v>
      </c>
      <c r="Q39" s="3" t="s">
        <v>913</v>
      </c>
      <c r="R39">
        <v>1</v>
      </c>
      <c r="S39">
        <v>0</v>
      </c>
      <c r="T39" s="3" t="s">
        <v>909</v>
      </c>
      <c r="U39">
        <v>3</v>
      </c>
      <c r="V39" s="3" t="s">
        <v>917</v>
      </c>
    </row>
    <row r="40" spans="1:22" x14ac:dyDescent="0.3">
      <c r="A40">
        <v>39</v>
      </c>
      <c r="B40" s="3" t="s">
        <v>103</v>
      </c>
      <c r="C40" s="3" t="s">
        <v>104</v>
      </c>
      <c r="D40" s="3" t="s">
        <v>953</v>
      </c>
      <c r="E40" s="3" t="s">
        <v>32</v>
      </c>
      <c r="F40" s="1">
        <v>43268</v>
      </c>
      <c r="G40">
        <v>8</v>
      </c>
      <c r="H40" s="3" t="s">
        <v>907</v>
      </c>
      <c r="I40" s="3" t="s">
        <v>17</v>
      </c>
      <c r="J40" s="3" t="s">
        <v>18</v>
      </c>
      <c r="K40" s="3" t="s">
        <v>42</v>
      </c>
      <c r="L40">
        <v>2801</v>
      </c>
      <c r="M40" s="3" t="s">
        <v>913</v>
      </c>
      <c r="N40">
        <v>33612</v>
      </c>
      <c r="O40">
        <v>4201.5</v>
      </c>
      <c r="P40">
        <v>3</v>
      </c>
      <c r="Q40" s="3" t="s">
        <v>908</v>
      </c>
      <c r="R40">
        <v>0</v>
      </c>
      <c r="S40">
        <v>0</v>
      </c>
      <c r="T40" s="3" t="s">
        <v>916</v>
      </c>
      <c r="U40">
        <v>9</v>
      </c>
      <c r="V40" s="3" t="s">
        <v>917</v>
      </c>
    </row>
    <row r="41" spans="1:22" x14ac:dyDescent="0.3">
      <c r="A41">
        <v>40</v>
      </c>
      <c r="B41" s="3" t="s">
        <v>105</v>
      </c>
      <c r="C41" s="3" t="s">
        <v>106</v>
      </c>
      <c r="D41" s="3" t="s">
        <v>954</v>
      </c>
      <c r="E41" s="3" t="s">
        <v>32</v>
      </c>
      <c r="F41" s="1">
        <v>43722</v>
      </c>
      <c r="G41">
        <v>6</v>
      </c>
      <c r="H41" s="3" t="s">
        <v>912</v>
      </c>
      <c r="I41" s="3" t="s">
        <v>58</v>
      </c>
      <c r="J41" s="3" t="s">
        <v>29</v>
      </c>
      <c r="K41" s="3" t="s">
        <v>42</v>
      </c>
      <c r="L41">
        <v>3208</v>
      </c>
      <c r="M41" s="3" t="s">
        <v>913</v>
      </c>
      <c r="N41">
        <v>38496</v>
      </c>
      <c r="O41">
        <v>6416</v>
      </c>
      <c r="P41">
        <v>3</v>
      </c>
      <c r="Q41" s="3" t="s">
        <v>908</v>
      </c>
      <c r="R41">
        <v>0</v>
      </c>
      <c r="S41">
        <v>0</v>
      </c>
      <c r="T41" s="3" t="s">
        <v>916</v>
      </c>
      <c r="U41">
        <v>0</v>
      </c>
      <c r="V41" s="3" t="s">
        <v>955</v>
      </c>
    </row>
    <row r="42" spans="1:22" x14ac:dyDescent="0.3">
      <c r="A42">
        <v>41</v>
      </c>
      <c r="B42" s="3" t="s">
        <v>67</v>
      </c>
      <c r="C42" s="3" t="s">
        <v>107</v>
      </c>
      <c r="D42" s="3" t="s">
        <v>956</v>
      </c>
      <c r="E42" s="3" t="s">
        <v>32</v>
      </c>
      <c r="F42" s="1">
        <v>43581</v>
      </c>
      <c r="G42">
        <v>7</v>
      </c>
      <c r="H42" s="3" t="s">
        <v>907</v>
      </c>
      <c r="I42" s="3" t="s">
        <v>28</v>
      </c>
      <c r="J42" s="3" t="s">
        <v>22</v>
      </c>
      <c r="K42" s="3" t="s">
        <v>60</v>
      </c>
      <c r="L42">
        <v>2129</v>
      </c>
      <c r="M42" s="3" t="s">
        <v>908</v>
      </c>
      <c r="N42">
        <v>25548</v>
      </c>
      <c r="O42">
        <v>3649.7142857142858</v>
      </c>
      <c r="P42">
        <v>4.5</v>
      </c>
      <c r="Q42" s="3" t="s">
        <v>913</v>
      </c>
      <c r="R42">
        <v>0</v>
      </c>
      <c r="S42">
        <v>0</v>
      </c>
      <c r="T42" s="3" t="s">
        <v>916</v>
      </c>
      <c r="U42">
        <v>26</v>
      </c>
      <c r="V42" s="3" t="s">
        <v>910</v>
      </c>
    </row>
    <row r="43" spans="1:22" x14ac:dyDescent="0.3">
      <c r="A43">
        <v>42</v>
      </c>
      <c r="B43" s="3" t="s">
        <v>108</v>
      </c>
      <c r="C43" s="3" t="s">
        <v>109</v>
      </c>
      <c r="D43" s="3" t="s">
        <v>957</v>
      </c>
      <c r="E43" s="3" t="s">
        <v>32</v>
      </c>
      <c r="F43" s="1">
        <v>44175</v>
      </c>
      <c r="G43">
        <v>5</v>
      </c>
      <c r="H43" s="3" t="s">
        <v>912</v>
      </c>
      <c r="I43" s="3" t="s">
        <v>53</v>
      </c>
      <c r="J43" s="3" t="s">
        <v>18</v>
      </c>
      <c r="K43" s="3" t="s">
        <v>36</v>
      </c>
      <c r="L43">
        <v>3344</v>
      </c>
      <c r="M43" s="3" t="s">
        <v>913</v>
      </c>
      <c r="N43">
        <v>40128</v>
      </c>
      <c r="O43">
        <v>8025.6</v>
      </c>
      <c r="P43">
        <v>5</v>
      </c>
      <c r="Q43" s="3" t="s">
        <v>913</v>
      </c>
      <c r="R43">
        <v>0</v>
      </c>
      <c r="S43">
        <v>0</v>
      </c>
      <c r="T43" s="3" t="s">
        <v>916</v>
      </c>
      <c r="U43">
        <v>7</v>
      </c>
      <c r="V43" s="3" t="s">
        <v>917</v>
      </c>
    </row>
    <row r="44" spans="1:22" x14ac:dyDescent="0.3">
      <c r="A44">
        <v>43</v>
      </c>
      <c r="B44" s="3" t="s">
        <v>66</v>
      </c>
      <c r="C44" s="3" t="s">
        <v>110</v>
      </c>
      <c r="D44" s="3" t="s">
        <v>958</v>
      </c>
      <c r="E44" s="3" t="s">
        <v>32</v>
      </c>
      <c r="F44" s="1">
        <v>42916</v>
      </c>
      <c r="G44">
        <v>9</v>
      </c>
      <c r="H44" s="3" t="s">
        <v>920</v>
      </c>
      <c r="I44" s="3" t="s">
        <v>41</v>
      </c>
      <c r="J44" s="3" t="s">
        <v>29</v>
      </c>
      <c r="K44" s="3" t="s">
        <v>42</v>
      </c>
      <c r="L44">
        <v>2836</v>
      </c>
      <c r="M44" s="3" t="s">
        <v>913</v>
      </c>
      <c r="N44">
        <v>34032</v>
      </c>
      <c r="O44">
        <v>3781.3333333333335</v>
      </c>
      <c r="P44">
        <v>5</v>
      </c>
      <c r="Q44" s="3" t="s">
        <v>913</v>
      </c>
      <c r="R44">
        <v>0</v>
      </c>
      <c r="S44">
        <v>0</v>
      </c>
      <c r="T44" s="3" t="s">
        <v>916</v>
      </c>
      <c r="U44">
        <v>14</v>
      </c>
      <c r="V44" s="3" t="s">
        <v>910</v>
      </c>
    </row>
    <row r="45" spans="1:22" x14ac:dyDescent="0.3">
      <c r="A45">
        <v>44</v>
      </c>
      <c r="B45" s="3" t="s">
        <v>111</v>
      </c>
      <c r="C45" s="3" t="s">
        <v>112</v>
      </c>
      <c r="D45" s="3" t="s">
        <v>959</v>
      </c>
      <c r="E45" s="3" t="s">
        <v>32</v>
      </c>
      <c r="F45" s="1">
        <v>43954</v>
      </c>
      <c r="G45">
        <v>6</v>
      </c>
      <c r="H45" s="3" t="s">
        <v>912</v>
      </c>
      <c r="I45" s="3" t="s">
        <v>17</v>
      </c>
      <c r="J45" s="3" t="s">
        <v>22</v>
      </c>
      <c r="K45" s="3" t="s">
        <v>42</v>
      </c>
      <c r="L45">
        <v>1960</v>
      </c>
      <c r="M45" s="3" t="s">
        <v>908</v>
      </c>
      <c r="N45">
        <v>23520</v>
      </c>
      <c r="O45">
        <v>3920</v>
      </c>
      <c r="P45">
        <v>3</v>
      </c>
      <c r="Q45" s="3" t="s">
        <v>908</v>
      </c>
      <c r="R45">
        <v>0</v>
      </c>
      <c r="S45">
        <v>0</v>
      </c>
      <c r="T45" s="3" t="s">
        <v>916</v>
      </c>
      <c r="U45">
        <v>9</v>
      </c>
      <c r="V45" s="3" t="s">
        <v>917</v>
      </c>
    </row>
    <row r="46" spans="1:22" x14ac:dyDescent="0.3">
      <c r="A46">
        <v>45</v>
      </c>
      <c r="B46" s="3" t="s">
        <v>30</v>
      </c>
      <c r="C46" s="3" t="s">
        <v>113</v>
      </c>
      <c r="D46" s="3" t="s">
        <v>960</v>
      </c>
      <c r="E46" s="3" t="s">
        <v>32</v>
      </c>
      <c r="F46" s="1">
        <v>42701</v>
      </c>
      <c r="G46">
        <v>9</v>
      </c>
      <c r="H46" s="3" t="s">
        <v>920</v>
      </c>
      <c r="I46" s="3" t="s">
        <v>53</v>
      </c>
      <c r="J46" s="3" t="s">
        <v>18</v>
      </c>
      <c r="K46" s="3" t="s">
        <v>42</v>
      </c>
      <c r="L46">
        <v>1478</v>
      </c>
      <c r="M46" s="3" t="s">
        <v>909</v>
      </c>
      <c r="N46">
        <v>17736</v>
      </c>
      <c r="O46">
        <v>1970.6666666666667</v>
      </c>
      <c r="P46">
        <v>4.5</v>
      </c>
      <c r="Q46" s="3" t="s">
        <v>913</v>
      </c>
      <c r="R46">
        <v>5</v>
      </c>
      <c r="S46">
        <v>6</v>
      </c>
      <c r="T46" s="3" t="s">
        <v>913</v>
      </c>
      <c r="U46">
        <v>7</v>
      </c>
      <c r="V46" s="3" t="s">
        <v>917</v>
      </c>
    </row>
    <row r="47" spans="1:22" x14ac:dyDescent="0.3">
      <c r="A47">
        <v>46</v>
      </c>
      <c r="B47" s="3" t="s">
        <v>114</v>
      </c>
      <c r="C47" s="3" t="s">
        <v>115</v>
      </c>
      <c r="D47" s="3" t="s">
        <v>961</v>
      </c>
      <c r="E47" s="3" t="s">
        <v>307</v>
      </c>
      <c r="F47" s="1">
        <v>43817</v>
      </c>
      <c r="G47">
        <v>6</v>
      </c>
      <c r="H47" s="3" t="s">
        <v>912</v>
      </c>
      <c r="I47" s="3" t="s">
        <v>58</v>
      </c>
      <c r="J47" s="3" t="s">
        <v>29</v>
      </c>
      <c r="K47" s="3" t="s">
        <v>36</v>
      </c>
      <c r="L47">
        <v>1981</v>
      </c>
      <c r="M47" s="3" t="s">
        <v>908</v>
      </c>
      <c r="N47">
        <v>23772</v>
      </c>
      <c r="O47">
        <v>3962</v>
      </c>
      <c r="P47">
        <v>2</v>
      </c>
      <c r="Q47" s="3" t="s">
        <v>909</v>
      </c>
      <c r="R47">
        <v>0</v>
      </c>
      <c r="S47">
        <v>0</v>
      </c>
      <c r="T47" s="3" t="s">
        <v>916</v>
      </c>
      <c r="U47">
        <v>3</v>
      </c>
      <c r="V47" s="3" t="s">
        <v>917</v>
      </c>
    </row>
    <row r="48" spans="1:22" x14ac:dyDescent="0.3">
      <c r="A48">
        <v>47</v>
      </c>
      <c r="B48" s="3" t="s">
        <v>116</v>
      </c>
      <c r="C48" s="3" t="s">
        <v>117</v>
      </c>
      <c r="D48" s="3" t="s">
        <v>962</v>
      </c>
      <c r="E48" s="3" t="s">
        <v>32</v>
      </c>
      <c r="F48" s="1">
        <v>43572</v>
      </c>
      <c r="G48">
        <v>7</v>
      </c>
      <c r="H48" s="3" t="s">
        <v>907</v>
      </c>
      <c r="I48" s="3" t="s">
        <v>118</v>
      </c>
      <c r="J48" s="3" t="s">
        <v>29</v>
      </c>
      <c r="K48" s="3" t="s">
        <v>42</v>
      </c>
      <c r="L48">
        <v>2064</v>
      </c>
      <c r="M48" s="3" t="s">
        <v>908</v>
      </c>
      <c r="N48">
        <v>24768</v>
      </c>
      <c r="O48">
        <v>3538.2857142857142</v>
      </c>
      <c r="P48">
        <v>2</v>
      </c>
      <c r="Q48" s="3" t="s">
        <v>909</v>
      </c>
      <c r="R48">
        <v>0</v>
      </c>
      <c r="S48">
        <v>0</v>
      </c>
      <c r="T48" s="3" t="s">
        <v>916</v>
      </c>
      <c r="U48">
        <v>0</v>
      </c>
      <c r="V48" s="3" t="s">
        <v>955</v>
      </c>
    </row>
    <row r="49" spans="1:22" x14ac:dyDescent="0.3">
      <c r="A49">
        <v>48</v>
      </c>
      <c r="B49" s="3" t="s">
        <v>119</v>
      </c>
      <c r="C49" s="3" t="s">
        <v>120</v>
      </c>
      <c r="D49" s="3" t="s">
        <v>963</v>
      </c>
      <c r="E49" s="3" t="s">
        <v>307</v>
      </c>
      <c r="F49" s="1">
        <v>42438</v>
      </c>
      <c r="G49">
        <v>10</v>
      </c>
      <c r="H49" s="3" t="s">
        <v>920</v>
      </c>
      <c r="I49" s="3" t="s">
        <v>28</v>
      </c>
      <c r="J49" s="3" t="s">
        <v>18</v>
      </c>
      <c r="K49" s="3" t="s">
        <v>42</v>
      </c>
      <c r="L49">
        <v>1045</v>
      </c>
      <c r="M49" s="3" t="s">
        <v>909</v>
      </c>
      <c r="N49">
        <v>12540</v>
      </c>
      <c r="O49">
        <v>1254</v>
      </c>
      <c r="P49">
        <v>5</v>
      </c>
      <c r="Q49" s="3" t="s">
        <v>913</v>
      </c>
      <c r="R49">
        <v>1</v>
      </c>
      <c r="S49">
        <v>0</v>
      </c>
      <c r="T49" s="3" t="s">
        <v>909</v>
      </c>
      <c r="U49">
        <v>3</v>
      </c>
      <c r="V49" s="3" t="s">
        <v>917</v>
      </c>
    </row>
    <row r="50" spans="1:22" x14ac:dyDescent="0.3">
      <c r="A50">
        <v>49</v>
      </c>
      <c r="B50" s="3" t="s">
        <v>121</v>
      </c>
      <c r="C50" s="3" t="s">
        <v>107</v>
      </c>
      <c r="D50" s="3" t="s">
        <v>964</v>
      </c>
      <c r="E50" s="3" t="s">
        <v>307</v>
      </c>
      <c r="F50" s="1">
        <v>43957</v>
      </c>
      <c r="G50">
        <v>6</v>
      </c>
      <c r="H50" s="3" t="s">
        <v>912</v>
      </c>
      <c r="I50" s="3" t="s">
        <v>28</v>
      </c>
      <c r="J50" s="3" t="s">
        <v>18</v>
      </c>
      <c r="K50" s="3" t="s">
        <v>19</v>
      </c>
      <c r="L50">
        <v>2022</v>
      </c>
      <c r="M50" s="3" t="s">
        <v>908</v>
      </c>
      <c r="N50">
        <v>24264</v>
      </c>
      <c r="O50">
        <v>4044</v>
      </c>
      <c r="P50">
        <v>3</v>
      </c>
      <c r="Q50" s="3" t="s">
        <v>908</v>
      </c>
      <c r="R50">
        <v>0</v>
      </c>
      <c r="S50">
        <v>0</v>
      </c>
      <c r="T50" s="3" t="s">
        <v>916</v>
      </c>
      <c r="U50">
        <v>1</v>
      </c>
      <c r="V50" s="3" t="s">
        <v>917</v>
      </c>
    </row>
    <row r="51" spans="1:22" x14ac:dyDescent="0.3">
      <c r="A51">
        <v>50</v>
      </c>
      <c r="B51" s="3" t="s">
        <v>122</v>
      </c>
      <c r="C51" s="3" t="s">
        <v>123</v>
      </c>
      <c r="D51" s="3" t="s">
        <v>965</v>
      </c>
      <c r="E51" s="3" t="s">
        <v>307</v>
      </c>
      <c r="F51" s="1">
        <v>43759</v>
      </c>
      <c r="G51">
        <v>6</v>
      </c>
      <c r="H51" s="3" t="s">
        <v>912</v>
      </c>
      <c r="I51" s="3" t="s">
        <v>77</v>
      </c>
      <c r="J51" s="3" t="s">
        <v>18</v>
      </c>
      <c r="K51" s="3" t="s">
        <v>36</v>
      </c>
      <c r="L51">
        <v>2383</v>
      </c>
      <c r="M51" s="3" t="s">
        <v>908</v>
      </c>
      <c r="N51">
        <v>28596</v>
      </c>
      <c r="O51">
        <v>4766</v>
      </c>
      <c r="P51">
        <v>5</v>
      </c>
      <c r="Q51" s="3" t="s">
        <v>913</v>
      </c>
      <c r="R51">
        <v>0</v>
      </c>
      <c r="S51">
        <v>4</v>
      </c>
      <c r="T51" s="3" t="s">
        <v>908</v>
      </c>
      <c r="U51">
        <v>1</v>
      </c>
      <c r="V51" s="3" t="s">
        <v>917</v>
      </c>
    </row>
    <row r="52" spans="1:22" x14ac:dyDescent="0.3">
      <c r="A52">
        <v>51</v>
      </c>
      <c r="B52" s="3" t="s">
        <v>124</v>
      </c>
      <c r="C52" s="3" t="s">
        <v>33</v>
      </c>
      <c r="D52" s="3" t="s">
        <v>966</v>
      </c>
      <c r="E52" s="3" t="s">
        <v>32</v>
      </c>
      <c r="F52" s="1">
        <v>43403</v>
      </c>
      <c r="G52">
        <v>7</v>
      </c>
      <c r="H52" s="3" t="s">
        <v>907</v>
      </c>
      <c r="I52" s="3" t="s">
        <v>28</v>
      </c>
      <c r="J52" s="3" t="s">
        <v>18</v>
      </c>
      <c r="K52" s="3" t="s">
        <v>19</v>
      </c>
      <c r="L52">
        <v>1563</v>
      </c>
      <c r="M52" s="3" t="s">
        <v>908</v>
      </c>
      <c r="N52">
        <v>18756</v>
      </c>
      <c r="O52">
        <v>2679.4285714285716</v>
      </c>
      <c r="P52">
        <v>3</v>
      </c>
      <c r="Q52" s="3" t="s">
        <v>908</v>
      </c>
      <c r="R52">
        <v>3</v>
      </c>
      <c r="S52">
        <v>0</v>
      </c>
      <c r="T52" s="3" t="s">
        <v>909</v>
      </c>
      <c r="U52">
        <v>1</v>
      </c>
      <c r="V52" s="3" t="s">
        <v>917</v>
      </c>
    </row>
    <row r="53" spans="1:22" x14ac:dyDescent="0.3">
      <c r="A53">
        <v>52</v>
      </c>
      <c r="B53" s="3" t="s">
        <v>125</v>
      </c>
      <c r="C53" s="3" t="s">
        <v>126</v>
      </c>
      <c r="D53" s="3" t="s">
        <v>967</v>
      </c>
      <c r="E53" s="3" t="s">
        <v>32</v>
      </c>
      <c r="F53" s="1">
        <v>43699</v>
      </c>
      <c r="G53">
        <v>7</v>
      </c>
      <c r="H53" s="3" t="s">
        <v>907</v>
      </c>
      <c r="I53" s="3" t="s">
        <v>39</v>
      </c>
      <c r="J53" s="3" t="s">
        <v>22</v>
      </c>
      <c r="K53" s="3" t="s">
        <v>19</v>
      </c>
      <c r="L53">
        <v>919</v>
      </c>
      <c r="M53" s="3" t="s">
        <v>909</v>
      </c>
      <c r="N53">
        <v>11028</v>
      </c>
      <c r="O53">
        <v>1575.4285714285713</v>
      </c>
      <c r="P53">
        <v>2</v>
      </c>
      <c r="Q53" s="3" t="s">
        <v>909</v>
      </c>
      <c r="R53">
        <v>0</v>
      </c>
      <c r="S53">
        <v>0</v>
      </c>
      <c r="T53" s="3" t="s">
        <v>916</v>
      </c>
      <c r="U53">
        <v>10</v>
      </c>
      <c r="V53" s="3" t="s">
        <v>917</v>
      </c>
    </row>
    <row r="54" spans="1:22" x14ac:dyDescent="0.3">
      <c r="A54">
        <v>53</v>
      </c>
      <c r="B54" s="3" t="s">
        <v>127</v>
      </c>
      <c r="C54" s="3" t="s">
        <v>128</v>
      </c>
      <c r="D54" s="3" t="s">
        <v>968</v>
      </c>
      <c r="E54" s="3" t="s">
        <v>32</v>
      </c>
      <c r="F54" s="1">
        <v>44127</v>
      </c>
      <c r="G54">
        <v>5</v>
      </c>
      <c r="H54" s="3" t="s">
        <v>912</v>
      </c>
      <c r="I54" s="3" t="s">
        <v>77</v>
      </c>
      <c r="J54" s="3" t="s">
        <v>18</v>
      </c>
      <c r="K54" s="3" t="s">
        <v>42</v>
      </c>
      <c r="L54">
        <v>988</v>
      </c>
      <c r="M54" s="3" t="s">
        <v>909</v>
      </c>
      <c r="N54">
        <v>11856</v>
      </c>
      <c r="O54">
        <v>2371.1999999999998</v>
      </c>
      <c r="P54">
        <v>5</v>
      </c>
      <c r="Q54" s="3" t="s">
        <v>913</v>
      </c>
      <c r="R54">
        <v>0</v>
      </c>
      <c r="S54">
        <v>0</v>
      </c>
      <c r="T54" s="3" t="s">
        <v>916</v>
      </c>
      <c r="U54">
        <v>5</v>
      </c>
      <c r="V54" s="3" t="s">
        <v>917</v>
      </c>
    </row>
    <row r="55" spans="1:22" x14ac:dyDescent="0.3">
      <c r="A55">
        <v>54</v>
      </c>
      <c r="B55" s="3" t="s">
        <v>129</v>
      </c>
      <c r="C55" s="3" t="s">
        <v>130</v>
      </c>
      <c r="D55" s="3" t="s">
        <v>969</v>
      </c>
      <c r="E55" s="3" t="s">
        <v>32</v>
      </c>
      <c r="F55" s="1">
        <v>43498</v>
      </c>
      <c r="G55">
        <v>7</v>
      </c>
      <c r="H55" s="3" t="s">
        <v>907</v>
      </c>
      <c r="I55" s="3" t="s">
        <v>77</v>
      </c>
      <c r="J55" s="3" t="s">
        <v>29</v>
      </c>
      <c r="K55" s="3" t="s">
        <v>36</v>
      </c>
      <c r="L55">
        <v>2631</v>
      </c>
      <c r="M55" s="3" t="s">
        <v>913</v>
      </c>
      <c r="N55">
        <v>31572</v>
      </c>
      <c r="O55">
        <v>4510.2857142857147</v>
      </c>
      <c r="P55">
        <v>3</v>
      </c>
      <c r="Q55" s="3" t="s">
        <v>908</v>
      </c>
      <c r="R55">
        <v>3</v>
      </c>
      <c r="S55">
        <v>6</v>
      </c>
      <c r="T55" s="3" t="s">
        <v>913</v>
      </c>
      <c r="U55">
        <v>10</v>
      </c>
      <c r="V55" s="3" t="s">
        <v>917</v>
      </c>
    </row>
    <row r="56" spans="1:22" x14ac:dyDescent="0.3">
      <c r="A56">
        <v>55</v>
      </c>
      <c r="B56" s="3" t="s">
        <v>131</v>
      </c>
      <c r="C56" s="3" t="s">
        <v>132</v>
      </c>
      <c r="D56" s="3" t="s">
        <v>970</v>
      </c>
      <c r="E56" s="3" t="s">
        <v>32</v>
      </c>
      <c r="F56" s="1">
        <v>42629</v>
      </c>
      <c r="G56">
        <v>9</v>
      </c>
      <c r="H56" s="3" t="s">
        <v>920</v>
      </c>
      <c r="I56" s="3" t="s">
        <v>17</v>
      </c>
      <c r="J56" s="3" t="s">
        <v>18</v>
      </c>
      <c r="K56" s="3" t="s">
        <v>36</v>
      </c>
      <c r="L56">
        <v>2368</v>
      </c>
      <c r="M56" s="3" t="s">
        <v>908</v>
      </c>
      <c r="N56">
        <v>28416</v>
      </c>
      <c r="O56">
        <v>3157.3333333333335</v>
      </c>
      <c r="P56">
        <v>3</v>
      </c>
      <c r="Q56" s="3" t="s">
        <v>908</v>
      </c>
      <c r="R56">
        <v>6</v>
      </c>
      <c r="S56">
        <v>0</v>
      </c>
      <c r="T56" s="3" t="s">
        <v>908</v>
      </c>
      <c r="U56">
        <v>5</v>
      </c>
      <c r="V56" s="3" t="s">
        <v>917</v>
      </c>
    </row>
    <row r="57" spans="1:22" x14ac:dyDescent="0.3">
      <c r="A57">
        <v>56</v>
      </c>
      <c r="B57" s="3" t="s">
        <v>133</v>
      </c>
      <c r="C57" s="3" t="s">
        <v>134</v>
      </c>
      <c r="D57" s="3" t="s">
        <v>971</v>
      </c>
      <c r="E57" s="3" t="s">
        <v>32</v>
      </c>
      <c r="F57" s="1">
        <v>43173</v>
      </c>
      <c r="G57">
        <v>8</v>
      </c>
      <c r="H57" s="3" t="s">
        <v>907</v>
      </c>
      <c r="I57" s="3" t="s">
        <v>39</v>
      </c>
      <c r="J57" s="3" t="s">
        <v>18</v>
      </c>
      <c r="K57" s="3" t="s">
        <v>60</v>
      </c>
      <c r="L57">
        <v>2679</v>
      </c>
      <c r="M57" s="3" t="s">
        <v>913</v>
      </c>
      <c r="N57">
        <v>32148</v>
      </c>
      <c r="O57">
        <v>4018.5</v>
      </c>
      <c r="P57">
        <v>3</v>
      </c>
      <c r="Q57" s="3" t="s">
        <v>908</v>
      </c>
      <c r="R57">
        <v>3</v>
      </c>
      <c r="S57">
        <v>0</v>
      </c>
      <c r="T57" s="3" t="s">
        <v>909</v>
      </c>
      <c r="U57">
        <v>85</v>
      </c>
      <c r="V57" s="3" t="s">
        <v>910</v>
      </c>
    </row>
    <row r="58" spans="1:22" x14ac:dyDescent="0.3">
      <c r="A58">
        <v>57</v>
      </c>
      <c r="B58" s="3" t="s">
        <v>135</v>
      </c>
      <c r="C58" s="3" t="s">
        <v>136</v>
      </c>
      <c r="D58" s="3" t="s">
        <v>972</v>
      </c>
      <c r="E58" s="3" t="s">
        <v>307</v>
      </c>
      <c r="F58" s="1">
        <v>43540</v>
      </c>
      <c r="G58">
        <v>7</v>
      </c>
      <c r="H58" s="3" t="s">
        <v>907</v>
      </c>
      <c r="I58" s="3" t="s">
        <v>41</v>
      </c>
      <c r="J58" s="3" t="s">
        <v>18</v>
      </c>
      <c r="K58" s="3" t="s">
        <v>42</v>
      </c>
      <c r="L58">
        <v>2423</v>
      </c>
      <c r="M58" s="3" t="s">
        <v>908</v>
      </c>
      <c r="N58">
        <v>29076</v>
      </c>
      <c r="O58">
        <v>4153.7142857142853</v>
      </c>
      <c r="P58">
        <v>3</v>
      </c>
      <c r="Q58" s="3" t="s">
        <v>908</v>
      </c>
      <c r="R58">
        <v>5</v>
      </c>
      <c r="S58">
        <v>0</v>
      </c>
      <c r="T58" s="3" t="s">
        <v>908</v>
      </c>
      <c r="U58">
        <v>10</v>
      </c>
      <c r="V58" s="3" t="s">
        <v>917</v>
      </c>
    </row>
    <row r="59" spans="1:22" x14ac:dyDescent="0.3">
      <c r="A59">
        <v>58</v>
      </c>
      <c r="B59" s="3" t="s">
        <v>137</v>
      </c>
      <c r="C59" s="3" t="s">
        <v>138</v>
      </c>
      <c r="D59" s="3" t="s">
        <v>973</v>
      </c>
      <c r="E59" s="3" t="s">
        <v>307</v>
      </c>
      <c r="F59" s="1">
        <v>43849</v>
      </c>
      <c r="G59">
        <v>6</v>
      </c>
      <c r="H59" s="3" t="s">
        <v>912</v>
      </c>
      <c r="I59" s="3" t="s">
        <v>77</v>
      </c>
      <c r="J59" s="3" t="s">
        <v>18</v>
      </c>
      <c r="K59" s="3" t="s">
        <v>19</v>
      </c>
      <c r="L59">
        <v>2115</v>
      </c>
      <c r="M59" s="3" t="s">
        <v>908</v>
      </c>
      <c r="N59">
        <v>25380</v>
      </c>
      <c r="O59">
        <v>4230</v>
      </c>
      <c r="P59">
        <v>5</v>
      </c>
      <c r="Q59" s="3" t="s">
        <v>913</v>
      </c>
      <c r="R59">
        <v>0</v>
      </c>
      <c r="S59">
        <v>0</v>
      </c>
      <c r="T59" s="3" t="s">
        <v>916</v>
      </c>
      <c r="U59">
        <v>0</v>
      </c>
      <c r="V59" s="3" t="s">
        <v>955</v>
      </c>
    </row>
    <row r="60" spans="1:22" x14ac:dyDescent="0.3">
      <c r="A60">
        <v>59</v>
      </c>
      <c r="B60" s="3" t="s">
        <v>139</v>
      </c>
      <c r="C60" s="3" t="s">
        <v>140</v>
      </c>
      <c r="D60" s="3" t="s">
        <v>974</v>
      </c>
      <c r="E60" s="3" t="s">
        <v>307</v>
      </c>
      <c r="F60" s="1">
        <v>43576</v>
      </c>
      <c r="G60">
        <v>7</v>
      </c>
      <c r="H60" s="3" t="s">
        <v>907</v>
      </c>
      <c r="I60" s="3" t="s">
        <v>35</v>
      </c>
      <c r="J60" s="3" t="s">
        <v>29</v>
      </c>
      <c r="K60" s="3" t="s">
        <v>36</v>
      </c>
      <c r="L60">
        <v>2969</v>
      </c>
      <c r="M60" s="3" t="s">
        <v>913</v>
      </c>
      <c r="N60">
        <v>35628</v>
      </c>
      <c r="O60">
        <v>5089.7142857142853</v>
      </c>
      <c r="P60">
        <v>1</v>
      </c>
      <c r="Q60" s="3" t="s">
        <v>909</v>
      </c>
      <c r="R60">
        <v>0</v>
      </c>
      <c r="S60">
        <v>0</v>
      </c>
      <c r="T60" s="3" t="s">
        <v>916</v>
      </c>
      <c r="U60">
        <v>11</v>
      </c>
      <c r="V60" s="3" t="s">
        <v>910</v>
      </c>
    </row>
    <row r="61" spans="1:22" x14ac:dyDescent="0.3">
      <c r="A61">
        <v>60</v>
      </c>
      <c r="B61" s="3" t="s">
        <v>33</v>
      </c>
      <c r="C61" s="3" t="s">
        <v>141</v>
      </c>
      <c r="D61" s="3" t="s">
        <v>975</v>
      </c>
      <c r="E61" s="3" t="s">
        <v>32</v>
      </c>
      <c r="F61" s="1">
        <v>43665</v>
      </c>
      <c r="G61">
        <v>7</v>
      </c>
      <c r="H61" s="3" t="s">
        <v>907</v>
      </c>
      <c r="I61" s="3" t="s">
        <v>76</v>
      </c>
      <c r="J61" s="3" t="s">
        <v>18</v>
      </c>
      <c r="K61" s="3" t="s">
        <v>36</v>
      </c>
      <c r="L61">
        <v>2467</v>
      </c>
      <c r="M61" s="3" t="s">
        <v>908</v>
      </c>
      <c r="N61">
        <v>29604</v>
      </c>
      <c r="O61">
        <v>4229.1428571428569</v>
      </c>
      <c r="P61">
        <v>3</v>
      </c>
      <c r="Q61" s="3" t="s">
        <v>908</v>
      </c>
      <c r="R61">
        <v>0</v>
      </c>
      <c r="S61">
        <v>0</v>
      </c>
      <c r="T61" s="3" t="s">
        <v>916</v>
      </c>
      <c r="U61">
        <v>7</v>
      </c>
      <c r="V61" s="3" t="s">
        <v>917</v>
      </c>
    </row>
    <row r="62" spans="1:22" x14ac:dyDescent="0.3">
      <c r="A62">
        <v>61</v>
      </c>
      <c r="B62" s="3" t="s">
        <v>89</v>
      </c>
      <c r="C62" s="3" t="s">
        <v>142</v>
      </c>
      <c r="D62" s="3" t="s">
        <v>976</v>
      </c>
      <c r="E62" s="3" t="s">
        <v>307</v>
      </c>
      <c r="F62" s="1">
        <v>43582</v>
      </c>
      <c r="G62">
        <v>7</v>
      </c>
      <c r="H62" s="3" t="s">
        <v>907</v>
      </c>
      <c r="I62" s="3" t="s">
        <v>53</v>
      </c>
      <c r="J62" s="3" t="s">
        <v>18</v>
      </c>
      <c r="K62" s="3" t="s">
        <v>42</v>
      </c>
      <c r="L62">
        <v>3244</v>
      </c>
      <c r="M62" s="3" t="s">
        <v>913</v>
      </c>
      <c r="N62">
        <v>38928</v>
      </c>
      <c r="O62">
        <v>5561.1428571428569</v>
      </c>
      <c r="P62">
        <v>3</v>
      </c>
      <c r="Q62" s="3" t="s">
        <v>908</v>
      </c>
      <c r="R62">
        <v>0</v>
      </c>
      <c r="S62">
        <v>0</v>
      </c>
      <c r="T62" s="3" t="s">
        <v>916</v>
      </c>
      <c r="U62">
        <v>10</v>
      </c>
      <c r="V62" s="3" t="s">
        <v>917</v>
      </c>
    </row>
    <row r="63" spans="1:22" x14ac:dyDescent="0.3">
      <c r="A63">
        <v>62</v>
      </c>
      <c r="B63" s="3" t="s">
        <v>33</v>
      </c>
      <c r="C63" s="3" t="s">
        <v>143</v>
      </c>
      <c r="D63" s="3" t="s">
        <v>977</v>
      </c>
      <c r="E63" s="3" t="s">
        <v>32</v>
      </c>
      <c r="F63" s="1">
        <v>43439</v>
      </c>
      <c r="G63">
        <v>7</v>
      </c>
      <c r="H63" s="3" t="s">
        <v>907</v>
      </c>
      <c r="I63" s="3" t="s">
        <v>144</v>
      </c>
      <c r="J63" s="3" t="s">
        <v>18</v>
      </c>
      <c r="K63" s="3" t="s">
        <v>42</v>
      </c>
      <c r="L63">
        <v>2132</v>
      </c>
      <c r="M63" s="3" t="s">
        <v>908</v>
      </c>
      <c r="N63">
        <v>25584</v>
      </c>
      <c r="O63">
        <v>3654.8571428571427</v>
      </c>
      <c r="P63">
        <v>3</v>
      </c>
      <c r="Q63" s="3" t="s">
        <v>908</v>
      </c>
      <c r="R63">
        <v>5</v>
      </c>
      <c r="S63">
        <v>0</v>
      </c>
      <c r="T63" s="3" t="s">
        <v>908</v>
      </c>
      <c r="U63">
        <v>2</v>
      </c>
      <c r="V63" s="3" t="s">
        <v>917</v>
      </c>
    </row>
    <row r="64" spans="1:22" x14ac:dyDescent="0.3">
      <c r="A64">
        <v>63</v>
      </c>
      <c r="B64" s="3" t="s">
        <v>33</v>
      </c>
      <c r="C64" s="3" t="s">
        <v>145</v>
      </c>
      <c r="D64" s="3" t="s">
        <v>978</v>
      </c>
      <c r="E64" s="3" t="s">
        <v>32</v>
      </c>
      <c r="F64" s="1">
        <v>42819</v>
      </c>
      <c r="G64">
        <v>9</v>
      </c>
      <c r="H64" s="3" t="s">
        <v>920</v>
      </c>
      <c r="I64" s="3" t="s">
        <v>28</v>
      </c>
      <c r="J64" s="3" t="s">
        <v>29</v>
      </c>
      <c r="K64" s="3" t="s">
        <v>36</v>
      </c>
      <c r="L64">
        <v>994</v>
      </c>
      <c r="M64" s="3" t="s">
        <v>909</v>
      </c>
      <c r="N64">
        <v>11928</v>
      </c>
      <c r="O64">
        <v>1325.3333333333333</v>
      </c>
      <c r="P64">
        <v>3</v>
      </c>
      <c r="Q64" s="3" t="s">
        <v>908</v>
      </c>
      <c r="R64">
        <v>6</v>
      </c>
      <c r="S64">
        <v>4</v>
      </c>
      <c r="T64" s="3" t="s">
        <v>913</v>
      </c>
      <c r="U64">
        <v>0</v>
      </c>
      <c r="V64" s="3" t="s">
        <v>955</v>
      </c>
    </row>
    <row r="65" spans="1:22" x14ac:dyDescent="0.3">
      <c r="A65">
        <v>64</v>
      </c>
      <c r="B65" s="3" t="s">
        <v>30</v>
      </c>
      <c r="C65" s="3" t="s">
        <v>120</v>
      </c>
      <c r="D65" s="3" t="s">
        <v>979</v>
      </c>
      <c r="E65" s="3" t="s">
        <v>32</v>
      </c>
      <c r="F65" s="1">
        <v>42389</v>
      </c>
      <c r="G65">
        <v>10</v>
      </c>
      <c r="H65" s="3" t="s">
        <v>920</v>
      </c>
      <c r="I65" s="3" t="s">
        <v>50</v>
      </c>
      <c r="J65" s="3" t="s">
        <v>18</v>
      </c>
      <c r="K65" s="3" t="s">
        <v>36</v>
      </c>
      <c r="L65">
        <v>2304</v>
      </c>
      <c r="M65" s="3" t="s">
        <v>908</v>
      </c>
      <c r="N65">
        <v>27648</v>
      </c>
      <c r="O65">
        <v>2764.8</v>
      </c>
      <c r="P65">
        <v>5</v>
      </c>
      <c r="Q65" s="3" t="s">
        <v>913</v>
      </c>
      <c r="R65">
        <v>5</v>
      </c>
      <c r="S65">
        <v>0</v>
      </c>
      <c r="T65" s="3" t="s">
        <v>908</v>
      </c>
      <c r="U65">
        <v>2</v>
      </c>
      <c r="V65" s="3" t="s">
        <v>917</v>
      </c>
    </row>
    <row r="66" spans="1:22" x14ac:dyDescent="0.3">
      <c r="A66">
        <v>65</v>
      </c>
      <c r="B66" s="3" t="s">
        <v>146</v>
      </c>
      <c r="C66" s="3" t="s">
        <v>147</v>
      </c>
      <c r="D66" s="3" t="s">
        <v>980</v>
      </c>
      <c r="E66" s="3" t="s">
        <v>32</v>
      </c>
      <c r="F66" s="1">
        <v>43280</v>
      </c>
      <c r="G66">
        <v>8</v>
      </c>
      <c r="H66" s="3" t="s">
        <v>907</v>
      </c>
      <c r="I66" s="3" t="s">
        <v>77</v>
      </c>
      <c r="J66" s="3" t="s">
        <v>18</v>
      </c>
      <c r="K66" s="3" t="s">
        <v>42</v>
      </c>
      <c r="L66">
        <v>1207</v>
      </c>
      <c r="M66" s="3" t="s">
        <v>909</v>
      </c>
      <c r="N66">
        <v>14484</v>
      </c>
      <c r="O66">
        <v>1810.5</v>
      </c>
      <c r="P66">
        <v>2</v>
      </c>
      <c r="Q66" s="3" t="s">
        <v>909</v>
      </c>
      <c r="R66">
        <v>0</v>
      </c>
      <c r="S66">
        <v>0</v>
      </c>
      <c r="T66" s="3" t="s">
        <v>916</v>
      </c>
      <c r="U66">
        <v>50</v>
      </c>
      <c r="V66" s="3" t="s">
        <v>910</v>
      </c>
    </row>
    <row r="67" spans="1:22" x14ac:dyDescent="0.3">
      <c r="A67">
        <v>66</v>
      </c>
      <c r="B67" s="3" t="s">
        <v>148</v>
      </c>
      <c r="C67" s="3" t="s">
        <v>149</v>
      </c>
      <c r="D67" s="3" t="s">
        <v>981</v>
      </c>
      <c r="E67" s="3" t="s">
        <v>32</v>
      </c>
      <c r="F67" s="1">
        <v>43715</v>
      </c>
      <c r="G67">
        <v>6</v>
      </c>
      <c r="H67" s="3" t="s">
        <v>912</v>
      </c>
      <c r="I67" s="3" t="s">
        <v>28</v>
      </c>
      <c r="J67" s="3" t="s">
        <v>48</v>
      </c>
      <c r="K67" s="3" t="s">
        <v>36</v>
      </c>
      <c r="L67">
        <v>802</v>
      </c>
      <c r="M67" s="3" t="s">
        <v>909</v>
      </c>
      <c r="N67">
        <v>9624</v>
      </c>
      <c r="O67">
        <v>1604</v>
      </c>
      <c r="P67">
        <v>4.5</v>
      </c>
      <c r="Q67" s="3" t="s">
        <v>913</v>
      </c>
      <c r="R67">
        <v>2</v>
      </c>
      <c r="S67">
        <v>0</v>
      </c>
      <c r="T67" s="3" t="s">
        <v>909</v>
      </c>
      <c r="U67">
        <v>3</v>
      </c>
      <c r="V67" s="3" t="s">
        <v>917</v>
      </c>
    </row>
    <row r="68" spans="1:22" x14ac:dyDescent="0.3">
      <c r="A68">
        <v>67</v>
      </c>
      <c r="B68" s="3" t="s">
        <v>33</v>
      </c>
      <c r="C68" s="3" t="s">
        <v>150</v>
      </c>
      <c r="D68" s="3" t="s">
        <v>982</v>
      </c>
      <c r="E68" s="3" t="s">
        <v>32</v>
      </c>
      <c r="F68" s="1">
        <v>43794</v>
      </c>
      <c r="G68">
        <v>6</v>
      </c>
      <c r="H68" s="3" t="s">
        <v>912</v>
      </c>
      <c r="I68" s="3" t="s">
        <v>58</v>
      </c>
      <c r="J68" s="3" t="s">
        <v>29</v>
      </c>
      <c r="K68" s="3" t="s">
        <v>36</v>
      </c>
      <c r="L68">
        <v>2065</v>
      </c>
      <c r="M68" s="3" t="s">
        <v>908</v>
      </c>
      <c r="N68">
        <v>24780</v>
      </c>
      <c r="O68">
        <v>4130</v>
      </c>
      <c r="P68">
        <v>3</v>
      </c>
      <c r="Q68" s="3" t="s">
        <v>908</v>
      </c>
      <c r="R68">
        <v>4</v>
      </c>
      <c r="S68">
        <v>3</v>
      </c>
      <c r="T68" s="3" t="s">
        <v>913</v>
      </c>
      <c r="U68">
        <v>4</v>
      </c>
      <c r="V68" s="3" t="s">
        <v>917</v>
      </c>
    </row>
    <row r="69" spans="1:22" x14ac:dyDescent="0.3">
      <c r="A69">
        <v>68</v>
      </c>
      <c r="B69" s="3" t="s">
        <v>151</v>
      </c>
      <c r="C69" s="3" t="s">
        <v>152</v>
      </c>
      <c r="D69" s="3" t="s">
        <v>983</v>
      </c>
      <c r="E69" s="3" t="s">
        <v>32</v>
      </c>
      <c r="F69" s="1">
        <v>44010</v>
      </c>
      <c r="G69">
        <v>6</v>
      </c>
      <c r="H69" s="3" t="s">
        <v>912</v>
      </c>
      <c r="I69" s="3" t="s">
        <v>50</v>
      </c>
      <c r="J69" s="3" t="s">
        <v>18</v>
      </c>
      <c r="K69" s="3" t="s">
        <v>19</v>
      </c>
      <c r="L69">
        <v>2882</v>
      </c>
      <c r="M69" s="3" t="s">
        <v>913</v>
      </c>
      <c r="N69">
        <v>34584</v>
      </c>
      <c r="O69">
        <v>5764</v>
      </c>
      <c r="P69">
        <v>5</v>
      </c>
      <c r="Q69" s="3" t="s">
        <v>913</v>
      </c>
      <c r="R69">
        <v>0</v>
      </c>
      <c r="S69">
        <v>4</v>
      </c>
      <c r="T69" s="3" t="s">
        <v>908</v>
      </c>
      <c r="U69">
        <v>0</v>
      </c>
      <c r="V69" s="3" t="s">
        <v>955</v>
      </c>
    </row>
    <row r="70" spans="1:22" x14ac:dyDescent="0.3">
      <c r="A70">
        <v>69</v>
      </c>
      <c r="B70" s="3" t="s">
        <v>30</v>
      </c>
      <c r="C70" s="3" t="s">
        <v>153</v>
      </c>
      <c r="D70" s="3" t="s">
        <v>984</v>
      </c>
      <c r="E70" s="3" t="s">
        <v>32</v>
      </c>
      <c r="F70" s="1">
        <v>43268</v>
      </c>
      <c r="G70">
        <v>8</v>
      </c>
      <c r="H70" s="3" t="s">
        <v>907</v>
      </c>
      <c r="I70" s="3" t="s">
        <v>41</v>
      </c>
      <c r="J70" s="3" t="s">
        <v>18</v>
      </c>
      <c r="K70" s="3" t="s">
        <v>36</v>
      </c>
      <c r="L70">
        <v>2042</v>
      </c>
      <c r="M70" s="3" t="s">
        <v>908</v>
      </c>
      <c r="N70">
        <v>24504</v>
      </c>
      <c r="O70">
        <v>3063</v>
      </c>
      <c r="P70">
        <v>5</v>
      </c>
      <c r="Q70" s="3" t="s">
        <v>913</v>
      </c>
      <c r="R70">
        <v>0</v>
      </c>
      <c r="S70">
        <v>3</v>
      </c>
      <c r="T70" s="3" t="s">
        <v>909</v>
      </c>
      <c r="U70">
        <v>64</v>
      </c>
      <c r="V70" s="3" t="s">
        <v>910</v>
      </c>
    </row>
    <row r="71" spans="1:22" x14ac:dyDescent="0.3">
      <c r="A71">
        <v>70</v>
      </c>
      <c r="B71" s="3" t="s">
        <v>154</v>
      </c>
      <c r="C71" s="3" t="s">
        <v>155</v>
      </c>
      <c r="D71" s="3" t="s">
        <v>985</v>
      </c>
      <c r="E71" s="3" t="s">
        <v>32</v>
      </c>
      <c r="F71" s="1">
        <v>43802</v>
      </c>
      <c r="G71">
        <v>6</v>
      </c>
      <c r="H71" s="3" t="s">
        <v>912</v>
      </c>
      <c r="I71" s="3" t="s">
        <v>53</v>
      </c>
      <c r="J71" s="3" t="s">
        <v>22</v>
      </c>
      <c r="K71" s="3" t="s">
        <v>19</v>
      </c>
      <c r="L71">
        <v>2017</v>
      </c>
      <c r="M71" s="3" t="s">
        <v>908</v>
      </c>
      <c r="N71">
        <v>24204</v>
      </c>
      <c r="O71">
        <v>4034</v>
      </c>
      <c r="P71">
        <v>3</v>
      </c>
      <c r="Q71" s="3" t="s">
        <v>908</v>
      </c>
      <c r="R71">
        <v>6</v>
      </c>
      <c r="S71">
        <v>0</v>
      </c>
      <c r="T71" s="3" t="s">
        <v>908</v>
      </c>
      <c r="U71">
        <v>8</v>
      </c>
      <c r="V71" s="3" t="s">
        <v>917</v>
      </c>
    </row>
    <row r="72" spans="1:22" x14ac:dyDescent="0.3">
      <c r="A72">
        <v>71</v>
      </c>
      <c r="B72" s="3" t="s">
        <v>156</v>
      </c>
      <c r="C72" s="3" t="s">
        <v>157</v>
      </c>
      <c r="D72" s="3" t="s">
        <v>986</v>
      </c>
      <c r="E72" s="3" t="s">
        <v>32</v>
      </c>
      <c r="F72" s="1">
        <v>43284</v>
      </c>
      <c r="G72">
        <v>8</v>
      </c>
      <c r="H72" s="3" t="s">
        <v>907</v>
      </c>
      <c r="I72" s="3" t="s">
        <v>77</v>
      </c>
      <c r="J72" s="3" t="s">
        <v>48</v>
      </c>
      <c r="K72" s="3" t="s">
        <v>42</v>
      </c>
      <c r="L72">
        <v>3215</v>
      </c>
      <c r="M72" s="3" t="s">
        <v>913</v>
      </c>
      <c r="N72">
        <v>38580</v>
      </c>
      <c r="O72">
        <v>4822.5</v>
      </c>
      <c r="P72">
        <v>2</v>
      </c>
      <c r="Q72" s="3" t="s">
        <v>909</v>
      </c>
      <c r="R72">
        <v>5</v>
      </c>
      <c r="S72">
        <v>0</v>
      </c>
      <c r="T72" s="3" t="s">
        <v>908</v>
      </c>
      <c r="U72">
        <v>2</v>
      </c>
      <c r="V72" s="3" t="s">
        <v>917</v>
      </c>
    </row>
    <row r="73" spans="1:22" x14ac:dyDescent="0.3">
      <c r="A73">
        <v>72</v>
      </c>
      <c r="B73" s="3" t="s">
        <v>158</v>
      </c>
      <c r="C73" s="3" t="s">
        <v>159</v>
      </c>
      <c r="D73" s="3" t="s">
        <v>987</v>
      </c>
      <c r="E73" s="3" t="s">
        <v>32</v>
      </c>
      <c r="F73" s="1">
        <v>42691</v>
      </c>
      <c r="G73">
        <v>9</v>
      </c>
      <c r="H73" s="3" t="s">
        <v>920</v>
      </c>
      <c r="I73" s="3" t="s">
        <v>28</v>
      </c>
      <c r="J73" s="3" t="s">
        <v>29</v>
      </c>
      <c r="K73" s="3" t="s">
        <v>36</v>
      </c>
      <c r="L73">
        <v>2957</v>
      </c>
      <c r="M73" s="3" t="s">
        <v>913</v>
      </c>
      <c r="N73">
        <v>35484</v>
      </c>
      <c r="O73">
        <v>3942.6666666666665</v>
      </c>
      <c r="P73">
        <v>5</v>
      </c>
      <c r="Q73" s="3" t="s">
        <v>913</v>
      </c>
      <c r="R73">
        <v>1</v>
      </c>
      <c r="S73">
        <v>0</v>
      </c>
      <c r="T73" s="3" t="s">
        <v>909</v>
      </c>
      <c r="U73">
        <v>10</v>
      </c>
      <c r="V73" s="3" t="s">
        <v>917</v>
      </c>
    </row>
    <row r="74" spans="1:22" x14ac:dyDescent="0.3">
      <c r="A74">
        <v>73</v>
      </c>
      <c r="B74" s="3" t="s">
        <v>160</v>
      </c>
      <c r="C74" s="3" t="s">
        <v>87</v>
      </c>
      <c r="D74" s="3" t="s">
        <v>988</v>
      </c>
      <c r="E74" s="3" t="s">
        <v>307</v>
      </c>
      <c r="F74" s="1">
        <v>43740</v>
      </c>
      <c r="G74">
        <v>6</v>
      </c>
      <c r="H74" s="3" t="s">
        <v>912</v>
      </c>
      <c r="I74" s="3" t="s">
        <v>35</v>
      </c>
      <c r="J74" s="3" t="s">
        <v>48</v>
      </c>
      <c r="K74" s="3" t="s">
        <v>36</v>
      </c>
      <c r="L74">
        <v>891</v>
      </c>
      <c r="M74" s="3" t="s">
        <v>909</v>
      </c>
      <c r="N74">
        <v>10692</v>
      </c>
      <c r="O74">
        <v>1782</v>
      </c>
      <c r="P74">
        <v>3</v>
      </c>
      <c r="Q74" s="3" t="s">
        <v>908</v>
      </c>
      <c r="R74">
        <v>0</v>
      </c>
      <c r="S74">
        <v>2</v>
      </c>
      <c r="T74" s="3" t="s">
        <v>909</v>
      </c>
      <c r="U74">
        <v>6</v>
      </c>
      <c r="V74" s="3" t="s">
        <v>917</v>
      </c>
    </row>
    <row r="75" spans="1:22" x14ac:dyDescent="0.3">
      <c r="A75">
        <v>74</v>
      </c>
      <c r="B75" s="3" t="s">
        <v>161</v>
      </c>
      <c r="C75" s="3" t="s">
        <v>162</v>
      </c>
      <c r="D75" s="3" t="s">
        <v>989</v>
      </c>
      <c r="E75" s="3" t="s">
        <v>32</v>
      </c>
      <c r="F75" s="1">
        <v>43339</v>
      </c>
      <c r="G75">
        <v>8</v>
      </c>
      <c r="H75" s="3" t="s">
        <v>907</v>
      </c>
      <c r="I75" s="3" t="s">
        <v>163</v>
      </c>
      <c r="J75" s="3" t="s">
        <v>29</v>
      </c>
      <c r="K75" s="3" t="s">
        <v>36</v>
      </c>
      <c r="L75">
        <v>1971</v>
      </c>
      <c r="M75" s="3" t="s">
        <v>908</v>
      </c>
      <c r="N75">
        <v>23652</v>
      </c>
      <c r="O75">
        <v>2956.5</v>
      </c>
      <c r="P75">
        <v>4.5</v>
      </c>
      <c r="Q75" s="3" t="s">
        <v>913</v>
      </c>
      <c r="R75">
        <v>5</v>
      </c>
      <c r="S75">
        <v>1</v>
      </c>
      <c r="T75" s="3" t="s">
        <v>908</v>
      </c>
      <c r="U75">
        <v>0</v>
      </c>
      <c r="V75" s="3" t="s">
        <v>955</v>
      </c>
    </row>
    <row r="76" spans="1:22" x14ac:dyDescent="0.3">
      <c r="A76">
        <v>75</v>
      </c>
      <c r="B76" s="3" t="s">
        <v>116</v>
      </c>
      <c r="C76" s="3" t="s">
        <v>164</v>
      </c>
      <c r="D76" s="3" t="s">
        <v>990</v>
      </c>
      <c r="E76" s="3" t="s">
        <v>32</v>
      </c>
      <c r="F76" s="1">
        <v>44149</v>
      </c>
      <c r="G76">
        <v>5</v>
      </c>
      <c r="H76" s="3" t="s">
        <v>912</v>
      </c>
      <c r="I76" s="3" t="s">
        <v>53</v>
      </c>
      <c r="J76" s="3" t="s">
        <v>29</v>
      </c>
      <c r="K76" s="3" t="s">
        <v>19</v>
      </c>
      <c r="L76">
        <v>2317</v>
      </c>
      <c r="M76" s="3" t="s">
        <v>908</v>
      </c>
      <c r="N76">
        <v>27804</v>
      </c>
      <c r="O76">
        <v>5560.8</v>
      </c>
      <c r="P76">
        <v>3</v>
      </c>
      <c r="Q76" s="3" t="s">
        <v>908</v>
      </c>
      <c r="R76">
        <v>6</v>
      </c>
      <c r="S76">
        <v>1</v>
      </c>
      <c r="T76" s="3" t="s">
        <v>913</v>
      </c>
      <c r="U76">
        <v>10</v>
      </c>
      <c r="V76" s="3" t="s">
        <v>917</v>
      </c>
    </row>
    <row r="77" spans="1:22" x14ac:dyDescent="0.3">
      <c r="A77">
        <v>76</v>
      </c>
      <c r="B77" s="3" t="s">
        <v>165</v>
      </c>
      <c r="C77" s="3" t="s">
        <v>166</v>
      </c>
      <c r="D77" s="3" t="s">
        <v>991</v>
      </c>
      <c r="E77" s="3" t="s">
        <v>32</v>
      </c>
      <c r="F77" s="1">
        <v>43797</v>
      </c>
      <c r="G77">
        <v>6</v>
      </c>
      <c r="H77" s="3" t="s">
        <v>912</v>
      </c>
      <c r="I77" s="3" t="s">
        <v>28</v>
      </c>
      <c r="J77" s="3" t="s">
        <v>18</v>
      </c>
      <c r="K77" s="3" t="s">
        <v>60</v>
      </c>
      <c r="L77">
        <v>1657</v>
      </c>
      <c r="M77" s="3" t="s">
        <v>908</v>
      </c>
      <c r="N77">
        <v>19884</v>
      </c>
      <c r="O77">
        <v>3314</v>
      </c>
      <c r="P77">
        <v>3</v>
      </c>
      <c r="Q77" s="3" t="s">
        <v>908</v>
      </c>
      <c r="R77">
        <v>0</v>
      </c>
      <c r="S77">
        <v>0</v>
      </c>
      <c r="T77" s="3" t="s">
        <v>916</v>
      </c>
      <c r="U77">
        <v>12</v>
      </c>
      <c r="V77" s="3" t="s">
        <v>910</v>
      </c>
    </row>
    <row r="78" spans="1:22" x14ac:dyDescent="0.3">
      <c r="A78">
        <v>77</v>
      </c>
      <c r="B78" s="3" t="s">
        <v>119</v>
      </c>
      <c r="C78" s="3" t="s">
        <v>167</v>
      </c>
      <c r="D78" s="3" t="s">
        <v>992</v>
      </c>
      <c r="E78" s="3" t="s">
        <v>32</v>
      </c>
      <c r="F78" s="1">
        <v>43210</v>
      </c>
      <c r="G78">
        <v>8</v>
      </c>
      <c r="H78" s="3" t="s">
        <v>907</v>
      </c>
      <c r="I78" s="3" t="s">
        <v>28</v>
      </c>
      <c r="J78" s="3" t="s">
        <v>18</v>
      </c>
      <c r="K78" s="3" t="s">
        <v>19</v>
      </c>
      <c r="L78">
        <v>3053</v>
      </c>
      <c r="M78" s="3" t="s">
        <v>913</v>
      </c>
      <c r="N78">
        <v>36636</v>
      </c>
      <c r="O78">
        <v>4579.5</v>
      </c>
      <c r="P78">
        <v>3</v>
      </c>
      <c r="Q78" s="3" t="s">
        <v>908</v>
      </c>
      <c r="R78">
        <v>0</v>
      </c>
      <c r="S78">
        <v>3</v>
      </c>
      <c r="T78" s="3" t="s">
        <v>909</v>
      </c>
      <c r="U78">
        <v>6</v>
      </c>
      <c r="V78" s="3" t="s">
        <v>917</v>
      </c>
    </row>
    <row r="79" spans="1:22" x14ac:dyDescent="0.3">
      <c r="A79">
        <v>78</v>
      </c>
      <c r="B79" s="3" t="s">
        <v>168</v>
      </c>
      <c r="C79" s="3" t="s">
        <v>169</v>
      </c>
      <c r="D79" s="3" t="s">
        <v>993</v>
      </c>
      <c r="E79" s="3" t="s">
        <v>32</v>
      </c>
      <c r="F79" s="1">
        <v>43840</v>
      </c>
      <c r="G79">
        <v>6</v>
      </c>
      <c r="H79" s="3" t="s">
        <v>912</v>
      </c>
      <c r="I79" s="3" t="s">
        <v>28</v>
      </c>
      <c r="J79" s="3" t="s">
        <v>29</v>
      </c>
      <c r="K79" s="3" t="s">
        <v>19</v>
      </c>
      <c r="L79">
        <v>1887</v>
      </c>
      <c r="M79" s="3" t="s">
        <v>908</v>
      </c>
      <c r="N79">
        <v>22644</v>
      </c>
      <c r="O79">
        <v>3774</v>
      </c>
      <c r="P79">
        <v>1</v>
      </c>
      <c r="Q79" s="3" t="s">
        <v>909</v>
      </c>
      <c r="R79">
        <v>6</v>
      </c>
      <c r="S79">
        <v>0</v>
      </c>
      <c r="T79" s="3" t="s">
        <v>908</v>
      </c>
      <c r="U79">
        <v>4</v>
      </c>
      <c r="V79" s="3" t="s">
        <v>917</v>
      </c>
    </row>
    <row r="80" spans="1:22" x14ac:dyDescent="0.3">
      <c r="A80">
        <v>79</v>
      </c>
      <c r="B80" s="3" t="s">
        <v>170</v>
      </c>
      <c r="C80" s="3" t="s">
        <v>171</v>
      </c>
      <c r="D80" s="3" t="s">
        <v>994</v>
      </c>
      <c r="E80" s="3" t="s">
        <v>32</v>
      </c>
      <c r="F80" s="1">
        <v>43411</v>
      </c>
      <c r="G80">
        <v>7</v>
      </c>
      <c r="H80" s="3" t="s">
        <v>907</v>
      </c>
      <c r="I80" s="3" t="s">
        <v>28</v>
      </c>
      <c r="J80" s="3" t="s">
        <v>29</v>
      </c>
      <c r="K80" s="3" t="s">
        <v>42</v>
      </c>
      <c r="L80">
        <v>1457</v>
      </c>
      <c r="M80" s="3" t="s">
        <v>909</v>
      </c>
      <c r="N80">
        <v>17484</v>
      </c>
      <c r="O80">
        <v>2497.7142857142858</v>
      </c>
      <c r="P80">
        <v>4.5</v>
      </c>
      <c r="Q80" s="3" t="s">
        <v>913</v>
      </c>
      <c r="R80">
        <v>0</v>
      </c>
      <c r="S80">
        <v>0</v>
      </c>
      <c r="T80" s="3" t="s">
        <v>916</v>
      </c>
      <c r="U80">
        <v>9</v>
      </c>
      <c r="V80" s="3" t="s">
        <v>917</v>
      </c>
    </row>
    <row r="81" spans="1:22" x14ac:dyDescent="0.3">
      <c r="A81">
        <v>80</v>
      </c>
      <c r="B81" s="3" t="s">
        <v>172</v>
      </c>
      <c r="C81" s="3" t="s">
        <v>173</v>
      </c>
      <c r="D81" s="3" t="s">
        <v>995</v>
      </c>
      <c r="E81" s="3" t="s">
        <v>307</v>
      </c>
      <c r="F81" s="1">
        <v>43591</v>
      </c>
      <c r="G81">
        <v>7</v>
      </c>
      <c r="H81" s="3" t="s">
        <v>907</v>
      </c>
      <c r="I81" s="3" t="s">
        <v>17</v>
      </c>
      <c r="J81" s="3" t="s">
        <v>18</v>
      </c>
      <c r="K81" s="3" t="s">
        <v>42</v>
      </c>
      <c r="L81">
        <v>2581</v>
      </c>
      <c r="M81" s="3" t="s">
        <v>913</v>
      </c>
      <c r="N81">
        <v>30972</v>
      </c>
      <c r="O81">
        <v>4424.5714285714284</v>
      </c>
      <c r="P81">
        <v>5</v>
      </c>
      <c r="Q81" s="3" t="s">
        <v>913</v>
      </c>
      <c r="R81">
        <v>0</v>
      </c>
      <c r="S81">
        <v>0</v>
      </c>
      <c r="T81" s="3" t="s">
        <v>916</v>
      </c>
      <c r="U81">
        <v>8</v>
      </c>
      <c r="V81" s="3" t="s">
        <v>917</v>
      </c>
    </row>
    <row r="82" spans="1:22" x14ac:dyDescent="0.3">
      <c r="A82">
        <v>81</v>
      </c>
      <c r="B82" s="3" t="s">
        <v>174</v>
      </c>
      <c r="C82" s="3" t="s">
        <v>175</v>
      </c>
      <c r="D82" s="3" t="s">
        <v>996</v>
      </c>
      <c r="E82" s="3" t="s">
        <v>307</v>
      </c>
      <c r="F82" s="1">
        <v>42609</v>
      </c>
      <c r="G82">
        <v>10</v>
      </c>
      <c r="H82" s="3" t="s">
        <v>920</v>
      </c>
      <c r="I82" s="3" t="s">
        <v>50</v>
      </c>
      <c r="J82" s="3" t="s">
        <v>29</v>
      </c>
      <c r="K82" s="3" t="s">
        <v>36</v>
      </c>
      <c r="L82">
        <v>901</v>
      </c>
      <c r="M82" s="3" t="s">
        <v>909</v>
      </c>
      <c r="N82">
        <v>10812</v>
      </c>
      <c r="O82">
        <v>1081.2</v>
      </c>
      <c r="P82">
        <v>5</v>
      </c>
      <c r="Q82" s="3" t="s">
        <v>913</v>
      </c>
      <c r="R82">
        <v>0</v>
      </c>
      <c r="S82">
        <v>2</v>
      </c>
      <c r="T82" s="3" t="s">
        <v>909</v>
      </c>
      <c r="U82">
        <v>10</v>
      </c>
      <c r="V82" s="3" t="s">
        <v>917</v>
      </c>
    </row>
    <row r="83" spans="1:22" x14ac:dyDescent="0.3">
      <c r="A83">
        <v>82</v>
      </c>
      <c r="B83" s="3" t="s">
        <v>176</v>
      </c>
      <c r="C83" s="3" t="s">
        <v>177</v>
      </c>
      <c r="D83" s="3" t="s">
        <v>997</v>
      </c>
      <c r="E83" s="3" t="s">
        <v>307</v>
      </c>
      <c r="F83" s="1">
        <v>42544</v>
      </c>
      <c r="G83">
        <v>10</v>
      </c>
      <c r="H83" s="3" t="s">
        <v>920</v>
      </c>
      <c r="I83" s="3" t="s">
        <v>41</v>
      </c>
      <c r="J83" s="3" t="s">
        <v>29</v>
      </c>
      <c r="K83" s="3" t="s">
        <v>42</v>
      </c>
      <c r="L83">
        <v>898</v>
      </c>
      <c r="M83" s="3" t="s">
        <v>909</v>
      </c>
      <c r="N83">
        <v>10776</v>
      </c>
      <c r="O83">
        <v>1077.5999999999999</v>
      </c>
      <c r="P83">
        <v>4.5</v>
      </c>
      <c r="Q83" s="3" t="s">
        <v>913</v>
      </c>
      <c r="R83">
        <v>3</v>
      </c>
      <c r="S83">
        <v>0</v>
      </c>
      <c r="T83" s="3" t="s">
        <v>909</v>
      </c>
      <c r="U83">
        <v>11</v>
      </c>
      <c r="V83" s="3" t="s">
        <v>910</v>
      </c>
    </row>
    <row r="84" spans="1:22" x14ac:dyDescent="0.3">
      <c r="A84">
        <v>83</v>
      </c>
      <c r="B84" s="3" t="s">
        <v>33</v>
      </c>
      <c r="C84" s="3" t="s">
        <v>178</v>
      </c>
      <c r="D84" s="3" t="s">
        <v>998</v>
      </c>
      <c r="E84" s="3" t="s">
        <v>32</v>
      </c>
      <c r="F84" s="1">
        <v>44069</v>
      </c>
      <c r="G84">
        <v>6</v>
      </c>
      <c r="H84" s="3" t="s">
        <v>912</v>
      </c>
      <c r="I84" s="3" t="s">
        <v>41</v>
      </c>
      <c r="J84" s="3" t="s">
        <v>18</v>
      </c>
      <c r="K84" s="3" t="s">
        <v>19</v>
      </c>
      <c r="L84">
        <v>2878</v>
      </c>
      <c r="M84" s="3" t="s">
        <v>913</v>
      </c>
      <c r="N84">
        <v>34536</v>
      </c>
      <c r="O84">
        <v>5756</v>
      </c>
      <c r="P84">
        <v>3</v>
      </c>
      <c r="Q84" s="3" t="s">
        <v>908</v>
      </c>
      <c r="R84">
        <v>0</v>
      </c>
      <c r="S84">
        <v>0</v>
      </c>
      <c r="T84" s="3" t="s">
        <v>916</v>
      </c>
      <c r="U84">
        <v>2</v>
      </c>
      <c r="V84" s="3" t="s">
        <v>917</v>
      </c>
    </row>
    <row r="85" spans="1:22" x14ac:dyDescent="0.3">
      <c r="A85">
        <v>84</v>
      </c>
      <c r="B85" s="3" t="s">
        <v>33</v>
      </c>
      <c r="C85" s="3" t="s">
        <v>179</v>
      </c>
      <c r="D85" s="3" t="s">
        <v>999</v>
      </c>
      <c r="E85" s="3" t="s">
        <v>32</v>
      </c>
      <c r="F85" s="1">
        <v>43116</v>
      </c>
      <c r="G85">
        <v>8</v>
      </c>
      <c r="H85" s="3" t="s">
        <v>907</v>
      </c>
      <c r="I85" s="3" t="s">
        <v>93</v>
      </c>
      <c r="J85" s="3" t="s">
        <v>18</v>
      </c>
      <c r="K85" s="3" t="s">
        <v>42</v>
      </c>
      <c r="L85">
        <v>2539</v>
      </c>
      <c r="M85" s="3" t="s">
        <v>913</v>
      </c>
      <c r="N85">
        <v>30468</v>
      </c>
      <c r="O85">
        <v>3808.5</v>
      </c>
      <c r="P85">
        <v>3</v>
      </c>
      <c r="Q85" s="3" t="s">
        <v>908</v>
      </c>
      <c r="R85">
        <v>0</v>
      </c>
      <c r="S85">
        <v>0</v>
      </c>
      <c r="T85" s="3" t="s">
        <v>916</v>
      </c>
      <c r="U85">
        <v>0</v>
      </c>
      <c r="V85" s="3" t="s">
        <v>955</v>
      </c>
    </row>
    <row r="86" spans="1:22" x14ac:dyDescent="0.3">
      <c r="A86">
        <v>85</v>
      </c>
      <c r="B86" s="3" t="s">
        <v>180</v>
      </c>
      <c r="C86" s="3" t="s">
        <v>181</v>
      </c>
      <c r="D86" s="3" t="s">
        <v>1000</v>
      </c>
      <c r="E86" s="3" t="s">
        <v>32</v>
      </c>
      <c r="F86" s="1">
        <v>43286</v>
      </c>
      <c r="G86">
        <v>8</v>
      </c>
      <c r="H86" s="3" t="s">
        <v>907</v>
      </c>
      <c r="I86" s="3" t="s">
        <v>17</v>
      </c>
      <c r="J86" s="3" t="s">
        <v>18</v>
      </c>
      <c r="K86" s="3" t="s">
        <v>36</v>
      </c>
      <c r="L86">
        <v>2533</v>
      </c>
      <c r="M86" s="3" t="s">
        <v>913</v>
      </c>
      <c r="N86">
        <v>30396</v>
      </c>
      <c r="O86">
        <v>3799.5</v>
      </c>
      <c r="P86">
        <v>5</v>
      </c>
      <c r="Q86" s="3" t="s">
        <v>913</v>
      </c>
      <c r="R86">
        <v>0</v>
      </c>
      <c r="S86">
        <v>0</v>
      </c>
      <c r="T86" s="3" t="s">
        <v>916</v>
      </c>
      <c r="U86">
        <v>2</v>
      </c>
      <c r="V86" s="3" t="s">
        <v>917</v>
      </c>
    </row>
    <row r="87" spans="1:22" x14ac:dyDescent="0.3">
      <c r="A87">
        <v>86</v>
      </c>
      <c r="B87" s="3" t="s">
        <v>182</v>
      </c>
      <c r="C87" s="3" t="s">
        <v>183</v>
      </c>
      <c r="D87" s="3" t="s">
        <v>1001</v>
      </c>
      <c r="E87" s="3" t="s">
        <v>307</v>
      </c>
      <c r="F87" s="1">
        <v>43481</v>
      </c>
      <c r="G87">
        <v>7</v>
      </c>
      <c r="H87" s="3" t="s">
        <v>907</v>
      </c>
      <c r="I87" s="3" t="s">
        <v>76</v>
      </c>
      <c r="J87" s="3" t="s">
        <v>18</v>
      </c>
      <c r="K87" s="3" t="s">
        <v>19</v>
      </c>
      <c r="L87">
        <v>885</v>
      </c>
      <c r="M87" s="3" t="s">
        <v>909</v>
      </c>
      <c r="N87">
        <v>10620</v>
      </c>
      <c r="O87">
        <v>1517.1428571428571</v>
      </c>
      <c r="P87">
        <v>3</v>
      </c>
      <c r="Q87" s="3" t="s">
        <v>908</v>
      </c>
      <c r="R87">
        <v>0</v>
      </c>
      <c r="S87">
        <v>0</v>
      </c>
      <c r="T87" s="3" t="s">
        <v>916</v>
      </c>
      <c r="U87">
        <v>3</v>
      </c>
      <c r="V87" s="3" t="s">
        <v>917</v>
      </c>
    </row>
    <row r="88" spans="1:22" x14ac:dyDescent="0.3">
      <c r="A88">
        <v>87</v>
      </c>
      <c r="B88" s="3" t="s">
        <v>33</v>
      </c>
      <c r="C88" s="3" t="s">
        <v>179</v>
      </c>
      <c r="D88" s="3" t="s">
        <v>999</v>
      </c>
      <c r="E88" s="3" t="s">
        <v>32</v>
      </c>
      <c r="F88" s="1">
        <v>43635</v>
      </c>
      <c r="G88">
        <v>7</v>
      </c>
      <c r="H88" s="3" t="s">
        <v>907</v>
      </c>
      <c r="I88" s="3" t="s">
        <v>53</v>
      </c>
      <c r="J88" s="3" t="s">
        <v>29</v>
      </c>
      <c r="K88" s="3" t="s">
        <v>19</v>
      </c>
      <c r="L88">
        <v>1166</v>
      </c>
      <c r="M88" s="3" t="s">
        <v>909</v>
      </c>
      <c r="N88">
        <v>13992</v>
      </c>
      <c r="O88">
        <v>1998.8571428571429</v>
      </c>
      <c r="P88">
        <v>5</v>
      </c>
      <c r="Q88" s="3" t="s">
        <v>913</v>
      </c>
      <c r="R88">
        <v>0</v>
      </c>
      <c r="S88">
        <v>4</v>
      </c>
      <c r="T88" s="3" t="s">
        <v>908</v>
      </c>
      <c r="U88">
        <v>5</v>
      </c>
      <c r="V88" s="3" t="s">
        <v>917</v>
      </c>
    </row>
    <row r="89" spans="1:22" x14ac:dyDescent="0.3">
      <c r="A89">
        <v>88</v>
      </c>
      <c r="B89" s="3" t="s">
        <v>184</v>
      </c>
      <c r="C89" s="3" t="s">
        <v>185</v>
      </c>
      <c r="D89" s="3" t="s">
        <v>1002</v>
      </c>
      <c r="E89" s="3" t="s">
        <v>307</v>
      </c>
      <c r="F89" s="1">
        <v>43009</v>
      </c>
      <c r="G89">
        <v>8</v>
      </c>
      <c r="H89" s="3" t="s">
        <v>907</v>
      </c>
      <c r="I89" s="3" t="s">
        <v>41</v>
      </c>
      <c r="J89" s="3" t="s">
        <v>29</v>
      </c>
      <c r="K89" s="3" t="s">
        <v>19</v>
      </c>
      <c r="L89">
        <v>2022</v>
      </c>
      <c r="M89" s="3" t="s">
        <v>908</v>
      </c>
      <c r="N89">
        <v>24264</v>
      </c>
      <c r="O89">
        <v>3033</v>
      </c>
      <c r="P89">
        <v>5</v>
      </c>
      <c r="Q89" s="3" t="s">
        <v>913</v>
      </c>
      <c r="R89">
        <v>0</v>
      </c>
      <c r="S89">
        <v>0</v>
      </c>
      <c r="T89" s="3" t="s">
        <v>916</v>
      </c>
      <c r="U89">
        <v>3</v>
      </c>
      <c r="V89" s="3" t="s">
        <v>917</v>
      </c>
    </row>
    <row r="90" spans="1:22" x14ac:dyDescent="0.3">
      <c r="A90">
        <v>89</v>
      </c>
      <c r="B90" s="3" t="s">
        <v>186</v>
      </c>
      <c r="C90" s="3" t="s">
        <v>187</v>
      </c>
      <c r="D90" s="3" t="s">
        <v>1003</v>
      </c>
      <c r="E90" s="3" t="s">
        <v>32</v>
      </c>
      <c r="F90" s="1">
        <v>43856</v>
      </c>
      <c r="G90">
        <v>6</v>
      </c>
      <c r="H90" s="3" t="s">
        <v>912</v>
      </c>
      <c r="I90" s="3" t="s">
        <v>76</v>
      </c>
      <c r="J90" s="3" t="s">
        <v>18</v>
      </c>
      <c r="K90" s="3" t="s">
        <v>42</v>
      </c>
      <c r="L90">
        <v>1752</v>
      </c>
      <c r="M90" s="3" t="s">
        <v>908</v>
      </c>
      <c r="N90">
        <v>21024</v>
      </c>
      <c r="O90">
        <v>3504</v>
      </c>
      <c r="P90">
        <v>2</v>
      </c>
      <c r="Q90" s="3" t="s">
        <v>909</v>
      </c>
      <c r="R90">
        <v>5</v>
      </c>
      <c r="S90">
        <v>4</v>
      </c>
      <c r="T90" s="3" t="s">
        <v>913</v>
      </c>
      <c r="U90">
        <v>76</v>
      </c>
      <c r="V90" s="3" t="s">
        <v>910</v>
      </c>
    </row>
    <row r="91" spans="1:22" x14ac:dyDescent="0.3">
      <c r="A91">
        <v>90</v>
      </c>
      <c r="B91" s="3" t="s">
        <v>188</v>
      </c>
      <c r="C91" s="3" t="s">
        <v>189</v>
      </c>
      <c r="D91" s="3" t="s">
        <v>1004</v>
      </c>
      <c r="E91" s="3" t="s">
        <v>307</v>
      </c>
      <c r="F91" s="1">
        <v>43666</v>
      </c>
      <c r="G91">
        <v>7</v>
      </c>
      <c r="H91" s="3" t="s">
        <v>907</v>
      </c>
      <c r="I91" s="3" t="s">
        <v>50</v>
      </c>
      <c r="J91" s="3" t="s">
        <v>18</v>
      </c>
      <c r="K91" s="3" t="s">
        <v>42</v>
      </c>
      <c r="L91">
        <v>3157</v>
      </c>
      <c r="M91" s="3" t="s">
        <v>913</v>
      </c>
      <c r="N91">
        <v>37884</v>
      </c>
      <c r="O91">
        <v>5412</v>
      </c>
      <c r="P91">
        <v>1</v>
      </c>
      <c r="Q91" s="3" t="s">
        <v>909</v>
      </c>
      <c r="R91">
        <v>6</v>
      </c>
      <c r="S91">
        <v>1</v>
      </c>
      <c r="T91" s="3" t="s">
        <v>913</v>
      </c>
      <c r="U91">
        <v>4</v>
      </c>
      <c r="V91" s="3" t="s">
        <v>917</v>
      </c>
    </row>
    <row r="92" spans="1:22" x14ac:dyDescent="0.3">
      <c r="A92">
        <v>91</v>
      </c>
      <c r="B92" s="3" t="s">
        <v>127</v>
      </c>
      <c r="C92" s="3" t="s">
        <v>190</v>
      </c>
      <c r="D92" s="3" t="s">
        <v>1005</v>
      </c>
      <c r="E92" s="3" t="s">
        <v>32</v>
      </c>
      <c r="F92" s="1">
        <v>44039</v>
      </c>
      <c r="G92">
        <v>6</v>
      </c>
      <c r="H92" s="3" t="s">
        <v>912</v>
      </c>
      <c r="I92" s="3" t="s">
        <v>17</v>
      </c>
      <c r="J92" s="3" t="s">
        <v>18</v>
      </c>
      <c r="K92" s="3" t="s">
        <v>42</v>
      </c>
      <c r="L92">
        <v>3211</v>
      </c>
      <c r="M92" s="3" t="s">
        <v>913</v>
      </c>
      <c r="N92">
        <v>38532</v>
      </c>
      <c r="O92">
        <v>6422</v>
      </c>
      <c r="P92">
        <v>5</v>
      </c>
      <c r="Q92" s="3" t="s">
        <v>913</v>
      </c>
      <c r="R92">
        <v>6</v>
      </c>
      <c r="S92">
        <v>1</v>
      </c>
      <c r="T92" s="3" t="s">
        <v>913</v>
      </c>
      <c r="U92">
        <v>9</v>
      </c>
      <c r="V92" s="3" t="s">
        <v>917</v>
      </c>
    </row>
    <row r="93" spans="1:22" x14ac:dyDescent="0.3">
      <c r="A93">
        <v>92</v>
      </c>
      <c r="B93" s="3" t="s">
        <v>191</v>
      </c>
      <c r="C93" s="3" t="s">
        <v>145</v>
      </c>
      <c r="D93" s="3" t="s">
        <v>1006</v>
      </c>
      <c r="E93" s="3" t="s">
        <v>307</v>
      </c>
      <c r="F93" s="1">
        <v>43384</v>
      </c>
      <c r="G93">
        <v>7</v>
      </c>
      <c r="H93" s="3" t="s">
        <v>907</v>
      </c>
      <c r="I93" s="3" t="s">
        <v>77</v>
      </c>
      <c r="J93" s="3" t="s">
        <v>18</v>
      </c>
      <c r="K93" s="3" t="s">
        <v>36</v>
      </c>
      <c r="L93">
        <v>1062</v>
      </c>
      <c r="M93" s="3" t="s">
        <v>909</v>
      </c>
      <c r="N93">
        <v>12744</v>
      </c>
      <c r="O93">
        <v>1820.5714285714287</v>
      </c>
      <c r="P93">
        <v>3</v>
      </c>
      <c r="Q93" s="3" t="s">
        <v>908</v>
      </c>
      <c r="R93">
        <v>1</v>
      </c>
      <c r="S93">
        <v>0</v>
      </c>
      <c r="T93" s="3" t="s">
        <v>909</v>
      </c>
      <c r="U93">
        <v>7</v>
      </c>
      <c r="V93" s="3" t="s">
        <v>917</v>
      </c>
    </row>
    <row r="94" spans="1:22" x14ac:dyDescent="0.3">
      <c r="A94">
        <v>93</v>
      </c>
      <c r="B94" s="3" t="s">
        <v>192</v>
      </c>
      <c r="C94" s="3" t="s">
        <v>193</v>
      </c>
      <c r="D94" s="3" t="s">
        <v>1007</v>
      </c>
      <c r="E94" s="3" t="s">
        <v>307</v>
      </c>
      <c r="F94" s="1">
        <v>43657</v>
      </c>
      <c r="G94">
        <v>7</v>
      </c>
      <c r="H94" s="3" t="s">
        <v>907</v>
      </c>
      <c r="I94" s="3" t="s">
        <v>53</v>
      </c>
      <c r="J94" s="3" t="s">
        <v>18</v>
      </c>
      <c r="K94" s="3" t="s">
        <v>42</v>
      </c>
      <c r="L94">
        <v>1406</v>
      </c>
      <c r="M94" s="3" t="s">
        <v>909</v>
      </c>
      <c r="N94">
        <v>16872</v>
      </c>
      <c r="O94">
        <v>2410.2857142857142</v>
      </c>
      <c r="P94">
        <v>4.5</v>
      </c>
      <c r="Q94" s="3" t="s">
        <v>913</v>
      </c>
      <c r="R94">
        <v>4</v>
      </c>
      <c r="S94">
        <v>0</v>
      </c>
      <c r="T94" s="3" t="s">
        <v>908</v>
      </c>
      <c r="U94">
        <v>46</v>
      </c>
      <c r="V94" s="3" t="s">
        <v>910</v>
      </c>
    </row>
    <row r="95" spans="1:22" x14ac:dyDescent="0.3">
      <c r="A95">
        <v>94</v>
      </c>
      <c r="B95" s="3" t="s">
        <v>33</v>
      </c>
      <c r="C95" s="3" t="s">
        <v>194</v>
      </c>
      <c r="D95" s="3" t="s">
        <v>1008</v>
      </c>
      <c r="E95" s="3" t="s">
        <v>32</v>
      </c>
      <c r="F95" s="1">
        <v>43694</v>
      </c>
      <c r="G95">
        <v>7</v>
      </c>
      <c r="H95" s="3" t="s">
        <v>907</v>
      </c>
      <c r="I95" s="3" t="s">
        <v>93</v>
      </c>
      <c r="J95" s="3" t="s">
        <v>29</v>
      </c>
      <c r="K95" s="3" t="s">
        <v>19</v>
      </c>
      <c r="L95">
        <v>3084</v>
      </c>
      <c r="M95" s="3" t="s">
        <v>913</v>
      </c>
      <c r="N95">
        <v>37008</v>
      </c>
      <c r="O95">
        <v>5286.8571428571431</v>
      </c>
      <c r="P95">
        <v>3</v>
      </c>
      <c r="Q95" s="3" t="s">
        <v>908</v>
      </c>
      <c r="R95">
        <v>6</v>
      </c>
      <c r="S95">
        <v>0</v>
      </c>
      <c r="T95" s="3" t="s">
        <v>908</v>
      </c>
      <c r="U95">
        <v>3</v>
      </c>
      <c r="V95" s="3" t="s">
        <v>917</v>
      </c>
    </row>
    <row r="96" spans="1:22" x14ac:dyDescent="0.3">
      <c r="A96">
        <v>95</v>
      </c>
      <c r="B96" s="3" t="s">
        <v>195</v>
      </c>
      <c r="C96" s="3" t="s">
        <v>196</v>
      </c>
      <c r="D96" s="3" t="s">
        <v>1009</v>
      </c>
      <c r="E96" s="3" t="s">
        <v>32</v>
      </c>
      <c r="F96" s="1">
        <v>44139</v>
      </c>
      <c r="G96">
        <v>5</v>
      </c>
      <c r="H96" s="3" t="s">
        <v>912</v>
      </c>
      <c r="I96" s="3" t="s">
        <v>58</v>
      </c>
      <c r="J96" s="3" t="s">
        <v>18</v>
      </c>
      <c r="K96" s="3" t="s">
        <v>42</v>
      </c>
      <c r="L96">
        <v>1815</v>
      </c>
      <c r="M96" s="3" t="s">
        <v>908</v>
      </c>
      <c r="N96">
        <v>21780</v>
      </c>
      <c r="O96">
        <v>4356</v>
      </c>
      <c r="P96">
        <v>4.5</v>
      </c>
      <c r="Q96" s="3" t="s">
        <v>913</v>
      </c>
      <c r="R96">
        <v>1</v>
      </c>
      <c r="S96">
        <v>0</v>
      </c>
      <c r="T96" s="3" t="s">
        <v>909</v>
      </c>
      <c r="U96">
        <v>9</v>
      </c>
      <c r="V96" s="3" t="s">
        <v>917</v>
      </c>
    </row>
    <row r="97" spans="1:22" x14ac:dyDescent="0.3">
      <c r="A97">
        <v>96</v>
      </c>
      <c r="B97" s="3" t="s">
        <v>33</v>
      </c>
      <c r="C97" s="3" t="s">
        <v>64</v>
      </c>
      <c r="D97" s="3" t="s">
        <v>1010</v>
      </c>
      <c r="E97" s="3" t="s">
        <v>32</v>
      </c>
      <c r="F97" s="1">
        <v>42937</v>
      </c>
      <c r="G97">
        <v>9</v>
      </c>
      <c r="H97" s="3" t="s">
        <v>920</v>
      </c>
      <c r="I97" s="3" t="s">
        <v>50</v>
      </c>
      <c r="J97" s="3" t="s">
        <v>29</v>
      </c>
      <c r="K97" s="3" t="s">
        <v>42</v>
      </c>
      <c r="L97">
        <v>1861</v>
      </c>
      <c r="M97" s="3" t="s">
        <v>908</v>
      </c>
      <c r="N97">
        <v>22332</v>
      </c>
      <c r="O97">
        <v>2481.3333333333335</v>
      </c>
      <c r="P97">
        <v>3</v>
      </c>
      <c r="Q97" s="3" t="s">
        <v>908</v>
      </c>
      <c r="R97">
        <v>0</v>
      </c>
      <c r="S97">
        <v>5</v>
      </c>
      <c r="T97" s="3" t="s">
        <v>908</v>
      </c>
      <c r="U97">
        <v>9</v>
      </c>
      <c r="V97" s="3" t="s">
        <v>917</v>
      </c>
    </row>
    <row r="98" spans="1:22" x14ac:dyDescent="0.3">
      <c r="A98">
        <v>97</v>
      </c>
      <c r="B98" s="3" t="s">
        <v>197</v>
      </c>
      <c r="C98" s="3" t="s">
        <v>198</v>
      </c>
      <c r="D98" s="3" t="s">
        <v>1011</v>
      </c>
      <c r="E98" s="3" t="s">
        <v>32</v>
      </c>
      <c r="F98" s="1">
        <v>43200</v>
      </c>
      <c r="G98">
        <v>8</v>
      </c>
      <c r="H98" s="3" t="s">
        <v>907</v>
      </c>
      <c r="I98" s="3" t="s">
        <v>28</v>
      </c>
      <c r="J98" s="3" t="s">
        <v>29</v>
      </c>
      <c r="K98" s="3" t="s">
        <v>36</v>
      </c>
      <c r="L98">
        <v>3088</v>
      </c>
      <c r="M98" s="3" t="s">
        <v>913</v>
      </c>
      <c r="N98">
        <v>37056</v>
      </c>
      <c r="O98">
        <v>4632</v>
      </c>
      <c r="P98">
        <v>5</v>
      </c>
      <c r="Q98" s="3" t="s">
        <v>913</v>
      </c>
      <c r="R98">
        <v>3</v>
      </c>
      <c r="S98">
        <v>0</v>
      </c>
      <c r="T98" s="3" t="s">
        <v>909</v>
      </c>
      <c r="U98">
        <v>10</v>
      </c>
      <c r="V98" s="3" t="s">
        <v>917</v>
      </c>
    </row>
    <row r="99" spans="1:22" x14ac:dyDescent="0.3">
      <c r="A99">
        <v>98</v>
      </c>
      <c r="B99" s="3" t="s">
        <v>195</v>
      </c>
      <c r="C99" s="3" t="s">
        <v>199</v>
      </c>
      <c r="D99" s="3" t="s">
        <v>1012</v>
      </c>
      <c r="E99" s="3" t="s">
        <v>32</v>
      </c>
      <c r="F99" s="1">
        <v>42858</v>
      </c>
      <c r="G99">
        <v>9</v>
      </c>
      <c r="H99" s="3" t="s">
        <v>920</v>
      </c>
      <c r="I99" s="3" t="s">
        <v>200</v>
      </c>
      <c r="J99" s="3" t="s">
        <v>48</v>
      </c>
      <c r="K99" s="3" t="s">
        <v>42</v>
      </c>
      <c r="L99">
        <v>3071</v>
      </c>
      <c r="M99" s="3" t="s">
        <v>913</v>
      </c>
      <c r="N99">
        <v>36852</v>
      </c>
      <c r="O99">
        <v>4094.6666666666665</v>
      </c>
      <c r="P99">
        <v>5</v>
      </c>
      <c r="Q99" s="3" t="s">
        <v>913</v>
      </c>
      <c r="R99">
        <v>6</v>
      </c>
      <c r="S99">
        <v>0</v>
      </c>
      <c r="T99" s="3" t="s">
        <v>908</v>
      </c>
      <c r="U99">
        <v>2</v>
      </c>
      <c r="V99" s="3" t="s">
        <v>917</v>
      </c>
    </row>
    <row r="100" spans="1:22" x14ac:dyDescent="0.3">
      <c r="A100">
        <v>99</v>
      </c>
      <c r="B100" s="3" t="s">
        <v>170</v>
      </c>
      <c r="C100" s="3" t="s">
        <v>126</v>
      </c>
      <c r="D100" s="3" t="s">
        <v>1013</v>
      </c>
      <c r="E100" s="3" t="s">
        <v>32</v>
      </c>
      <c r="F100" s="1">
        <v>43433</v>
      </c>
      <c r="G100">
        <v>7</v>
      </c>
      <c r="H100" s="3" t="s">
        <v>907</v>
      </c>
      <c r="I100" s="3" t="s">
        <v>28</v>
      </c>
      <c r="J100" s="3" t="s">
        <v>29</v>
      </c>
      <c r="K100" s="3" t="s">
        <v>36</v>
      </c>
      <c r="L100">
        <v>3298</v>
      </c>
      <c r="M100" s="3" t="s">
        <v>913</v>
      </c>
      <c r="N100">
        <v>39576</v>
      </c>
      <c r="O100">
        <v>5653.7142857142853</v>
      </c>
      <c r="P100">
        <v>3</v>
      </c>
      <c r="Q100" s="3" t="s">
        <v>908</v>
      </c>
      <c r="R100">
        <v>0</v>
      </c>
      <c r="S100">
        <v>0</v>
      </c>
      <c r="T100" s="3" t="s">
        <v>916</v>
      </c>
      <c r="U100">
        <v>9</v>
      </c>
      <c r="V100" s="3" t="s">
        <v>917</v>
      </c>
    </row>
    <row r="101" spans="1:22" x14ac:dyDescent="0.3">
      <c r="A101">
        <v>100</v>
      </c>
      <c r="B101" s="3" t="s">
        <v>84</v>
      </c>
      <c r="C101" s="3" t="s">
        <v>201</v>
      </c>
      <c r="D101" s="3" t="s">
        <v>1014</v>
      </c>
      <c r="E101" s="3" t="s">
        <v>307</v>
      </c>
      <c r="F101" s="1">
        <v>43339</v>
      </c>
      <c r="G101">
        <v>8</v>
      </c>
      <c r="H101" s="3" t="s">
        <v>907</v>
      </c>
      <c r="I101" s="3" t="s">
        <v>35</v>
      </c>
      <c r="J101" s="3" t="s">
        <v>22</v>
      </c>
      <c r="K101" s="3" t="s">
        <v>36</v>
      </c>
      <c r="L101">
        <v>828</v>
      </c>
      <c r="M101" s="3" t="s">
        <v>909</v>
      </c>
      <c r="N101">
        <v>9936</v>
      </c>
      <c r="O101">
        <v>1242</v>
      </c>
      <c r="P101">
        <v>5</v>
      </c>
      <c r="Q101" s="3" t="s">
        <v>913</v>
      </c>
      <c r="R101">
        <v>0</v>
      </c>
      <c r="S101">
        <v>0</v>
      </c>
      <c r="T101" s="3" t="s">
        <v>916</v>
      </c>
      <c r="U101">
        <v>10</v>
      </c>
      <c r="V101" s="3" t="s">
        <v>917</v>
      </c>
    </row>
    <row r="102" spans="1:22" x14ac:dyDescent="0.3">
      <c r="A102">
        <v>101</v>
      </c>
      <c r="B102" s="3" t="s">
        <v>33</v>
      </c>
      <c r="C102" s="3" t="s">
        <v>125</v>
      </c>
      <c r="D102" s="3" t="s">
        <v>1015</v>
      </c>
      <c r="E102" s="3" t="s">
        <v>32</v>
      </c>
      <c r="F102" s="1">
        <v>43786</v>
      </c>
      <c r="G102">
        <v>6</v>
      </c>
      <c r="H102" s="3" t="s">
        <v>912</v>
      </c>
      <c r="I102" s="3" t="s">
        <v>28</v>
      </c>
      <c r="J102" s="3" t="s">
        <v>18</v>
      </c>
      <c r="K102" s="3" t="s">
        <v>36</v>
      </c>
      <c r="L102">
        <v>2404</v>
      </c>
      <c r="M102" s="3" t="s">
        <v>908</v>
      </c>
      <c r="N102">
        <v>28848</v>
      </c>
      <c r="O102">
        <v>4808</v>
      </c>
      <c r="P102">
        <v>4.5</v>
      </c>
      <c r="Q102" s="3" t="s">
        <v>913</v>
      </c>
      <c r="R102">
        <v>0</v>
      </c>
      <c r="S102">
        <v>0</v>
      </c>
      <c r="T102" s="3" t="s">
        <v>916</v>
      </c>
      <c r="U102">
        <v>99</v>
      </c>
      <c r="V102" s="3" t="s">
        <v>910</v>
      </c>
    </row>
    <row r="103" spans="1:22" x14ac:dyDescent="0.3">
      <c r="A103">
        <v>102</v>
      </c>
      <c r="B103" s="3" t="s">
        <v>125</v>
      </c>
      <c r="C103" s="3" t="s">
        <v>33</v>
      </c>
      <c r="D103" s="3" t="s">
        <v>1016</v>
      </c>
      <c r="E103" s="3" t="s">
        <v>32</v>
      </c>
      <c r="F103" s="1">
        <v>43740</v>
      </c>
      <c r="G103">
        <v>6</v>
      </c>
      <c r="H103" s="3" t="s">
        <v>912</v>
      </c>
      <c r="I103" s="3" t="s">
        <v>58</v>
      </c>
      <c r="J103" s="3" t="s">
        <v>18</v>
      </c>
      <c r="K103" s="3" t="s">
        <v>60</v>
      </c>
      <c r="L103">
        <v>3410</v>
      </c>
      <c r="M103" s="3" t="s">
        <v>913</v>
      </c>
      <c r="N103">
        <v>40920</v>
      </c>
      <c r="O103">
        <v>6820</v>
      </c>
      <c r="P103">
        <v>3</v>
      </c>
      <c r="Q103" s="3" t="s">
        <v>908</v>
      </c>
      <c r="R103">
        <v>2</v>
      </c>
      <c r="S103">
        <v>0</v>
      </c>
      <c r="T103" s="3" t="s">
        <v>909</v>
      </c>
      <c r="U103">
        <v>8</v>
      </c>
      <c r="V103" s="3" t="s">
        <v>917</v>
      </c>
    </row>
    <row r="104" spans="1:22" x14ac:dyDescent="0.3">
      <c r="A104">
        <v>103</v>
      </c>
      <c r="B104" s="3" t="s">
        <v>30</v>
      </c>
      <c r="C104" s="3" t="s">
        <v>202</v>
      </c>
      <c r="D104" s="3" t="s">
        <v>1017</v>
      </c>
      <c r="E104" s="3" t="s">
        <v>32</v>
      </c>
      <c r="F104" s="1">
        <v>43793</v>
      </c>
      <c r="G104">
        <v>6</v>
      </c>
      <c r="H104" s="3" t="s">
        <v>912</v>
      </c>
      <c r="I104" s="3" t="s">
        <v>35</v>
      </c>
      <c r="J104" s="3" t="s">
        <v>29</v>
      </c>
      <c r="K104" s="3" t="s">
        <v>42</v>
      </c>
      <c r="L104">
        <v>1817</v>
      </c>
      <c r="M104" s="3" t="s">
        <v>908</v>
      </c>
      <c r="N104">
        <v>21804</v>
      </c>
      <c r="O104">
        <v>3634</v>
      </c>
      <c r="P104">
        <v>5</v>
      </c>
      <c r="Q104" s="3" t="s">
        <v>913</v>
      </c>
      <c r="R104">
        <v>1</v>
      </c>
      <c r="S104">
        <v>0</v>
      </c>
      <c r="T104" s="3" t="s">
        <v>909</v>
      </c>
      <c r="U104">
        <v>1</v>
      </c>
      <c r="V104" s="3" t="s">
        <v>917</v>
      </c>
    </row>
    <row r="105" spans="1:22" x14ac:dyDescent="0.3">
      <c r="A105">
        <v>104</v>
      </c>
      <c r="B105" s="3" t="s">
        <v>86</v>
      </c>
      <c r="C105" s="3" t="s">
        <v>203</v>
      </c>
      <c r="D105" s="3" t="s">
        <v>1018</v>
      </c>
      <c r="E105" s="3" t="s">
        <v>32</v>
      </c>
      <c r="F105" s="1">
        <v>43867</v>
      </c>
      <c r="G105">
        <v>6</v>
      </c>
      <c r="H105" s="3" t="s">
        <v>912</v>
      </c>
      <c r="I105" s="3" t="s">
        <v>28</v>
      </c>
      <c r="J105" s="3" t="s">
        <v>48</v>
      </c>
      <c r="K105" s="3" t="s">
        <v>42</v>
      </c>
      <c r="L105">
        <v>2923</v>
      </c>
      <c r="M105" s="3" t="s">
        <v>913</v>
      </c>
      <c r="N105">
        <v>35076</v>
      </c>
      <c r="O105">
        <v>5846</v>
      </c>
      <c r="P105">
        <v>2</v>
      </c>
      <c r="Q105" s="3" t="s">
        <v>909</v>
      </c>
      <c r="R105">
        <v>0</v>
      </c>
      <c r="S105">
        <v>0</v>
      </c>
      <c r="T105" s="3" t="s">
        <v>916</v>
      </c>
      <c r="U105">
        <v>0</v>
      </c>
      <c r="V105" s="3" t="s">
        <v>955</v>
      </c>
    </row>
    <row r="106" spans="1:22" x14ac:dyDescent="0.3">
      <c r="A106">
        <v>105</v>
      </c>
      <c r="B106" s="3" t="s">
        <v>33</v>
      </c>
      <c r="C106" s="3" t="s">
        <v>178</v>
      </c>
      <c r="D106" s="3" t="s">
        <v>998</v>
      </c>
      <c r="E106" s="3" t="s">
        <v>32</v>
      </c>
      <c r="F106" s="1">
        <v>43397</v>
      </c>
      <c r="G106">
        <v>7</v>
      </c>
      <c r="H106" s="3" t="s">
        <v>907</v>
      </c>
      <c r="I106" s="3" t="s">
        <v>88</v>
      </c>
      <c r="J106" s="3" t="s">
        <v>18</v>
      </c>
      <c r="K106" s="3" t="s">
        <v>60</v>
      </c>
      <c r="L106">
        <v>3138</v>
      </c>
      <c r="M106" s="3" t="s">
        <v>913</v>
      </c>
      <c r="N106">
        <v>37656</v>
      </c>
      <c r="O106">
        <v>5379.4285714285716</v>
      </c>
      <c r="P106">
        <v>5</v>
      </c>
      <c r="Q106" s="3" t="s">
        <v>913</v>
      </c>
      <c r="R106">
        <v>6</v>
      </c>
      <c r="S106">
        <v>0</v>
      </c>
      <c r="T106" s="3" t="s">
        <v>908</v>
      </c>
      <c r="U106">
        <v>10</v>
      </c>
      <c r="V106" s="3" t="s">
        <v>917</v>
      </c>
    </row>
    <row r="107" spans="1:22" x14ac:dyDescent="0.3">
      <c r="A107">
        <v>106</v>
      </c>
      <c r="B107" s="3" t="s">
        <v>204</v>
      </c>
      <c r="C107" s="3" t="s">
        <v>205</v>
      </c>
      <c r="D107" s="3" t="s">
        <v>1019</v>
      </c>
      <c r="E107" s="3" t="s">
        <v>32</v>
      </c>
      <c r="F107" s="1">
        <v>43979</v>
      </c>
      <c r="G107">
        <v>6</v>
      </c>
      <c r="H107" s="3" t="s">
        <v>912</v>
      </c>
      <c r="I107" s="3" t="s">
        <v>41</v>
      </c>
      <c r="J107" s="3" t="s">
        <v>18</v>
      </c>
      <c r="K107" s="3" t="s">
        <v>36</v>
      </c>
      <c r="L107">
        <v>3139</v>
      </c>
      <c r="M107" s="3" t="s">
        <v>913</v>
      </c>
      <c r="N107">
        <v>37668</v>
      </c>
      <c r="O107">
        <v>6278</v>
      </c>
      <c r="P107">
        <v>3</v>
      </c>
      <c r="Q107" s="3" t="s">
        <v>908</v>
      </c>
      <c r="R107">
        <v>0</v>
      </c>
      <c r="S107">
        <v>0</v>
      </c>
      <c r="T107" s="3" t="s">
        <v>916</v>
      </c>
      <c r="U107">
        <v>10</v>
      </c>
      <c r="V107" s="3" t="s">
        <v>917</v>
      </c>
    </row>
    <row r="108" spans="1:22" x14ac:dyDescent="0.3">
      <c r="A108">
        <v>107</v>
      </c>
      <c r="B108" s="3" t="s">
        <v>146</v>
      </c>
      <c r="C108" s="3" t="s">
        <v>155</v>
      </c>
      <c r="D108" s="3" t="s">
        <v>1020</v>
      </c>
      <c r="E108" s="3" t="s">
        <v>32</v>
      </c>
      <c r="F108" s="1">
        <v>42507</v>
      </c>
      <c r="G108">
        <v>10</v>
      </c>
      <c r="H108" s="3" t="s">
        <v>920</v>
      </c>
      <c r="I108" s="3" t="s">
        <v>76</v>
      </c>
      <c r="J108" s="3" t="s">
        <v>29</v>
      </c>
      <c r="K108" s="3" t="s">
        <v>42</v>
      </c>
      <c r="L108">
        <v>3263</v>
      </c>
      <c r="M108" s="3" t="s">
        <v>913</v>
      </c>
      <c r="N108">
        <v>39156</v>
      </c>
      <c r="O108">
        <v>3915.6</v>
      </c>
      <c r="P108">
        <v>3</v>
      </c>
      <c r="Q108" s="3" t="s">
        <v>908</v>
      </c>
      <c r="R108">
        <v>0</v>
      </c>
      <c r="S108">
        <v>0</v>
      </c>
      <c r="T108" s="3" t="s">
        <v>916</v>
      </c>
      <c r="U108">
        <v>3</v>
      </c>
      <c r="V108" s="3" t="s">
        <v>917</v>
      </c>
    </row>
    <row r="109" spans="1:22" x14ac:dyDescent="0.3">
      <c r="A109">
        <v>108</v>
      </c>
      <c r="B109" s="3" t="s">
        <v>206</v>
      </c>
      <c r="C109" s="3" t="s">
        <v>207</v>
      </c>
      <c r="D109" s="3" t="s">
        <v>1021</v>
      </c>
      <c r="E109" s="3" t="s">
        <v>307</v>
      </c>
      <c r="F109" s="1">
        <v>43487</v>
      </c>
      <c r="G109">
        <v>7</v>
      </c>
      <c r="H109" s="3" t="s">
        <v>907</v>
      </c>
      <c r="I109" s="3" t="s">
        <v>17</v>
      </c>
      <c r="J109" s="3" t="s">
        <v>29</v>
      </c>
      <c r="K109" s="3" t="s">
        <v>42</v>
      </c>
      <c r="L109">
        <v>1258</v>
      </c>
      <c r="M109" s="3" t="s">
        <v>909</v>
      </c>
      <c r="N109">
        <v>15096</v>
      </c>
      <c r="O109">
        <v>2156.5714285714284</v>
      </c>
      <c r="P109">
        <v>5</v>
      </c>
      <c r="Q109" s="3" t="s">
        <v>913</v>
      </c>
      <c r="R109">
        <v>0</v>
      </c>
      <c r="S109">
        <v>0</v>
      </c>
      <c r="T109" s="3" t="s">
        <v>916</v>
      </c>
      <c r="U109">
        <v>5</v>
      </c>
      <c r="V109" s="3" t="s">
        <v>917</v>
      </c>
    </row>
    <row r="110" spans="1:22" x14ac:dyDescent="0.3">
      <c r="A110">
        <v>109</v>
      </c>
      <c r="B110" s="3" t="s">
        <v>208</v>
      </c>
      <c r="C110" s="3" t="s">
        <v>209</v>
      </c>
      <c r="D110" s="3" t="s">
        <v>1022</v>
      </c>
      <c r="E110" s="3" t="s">
        <v>307</v>
      </c>
      <c r="F110" s="1">
        <v>44085</v>
      </c>
      <c r="G110">
        <v>5</v>
      </c>
      <c r="H110" s="3" t="s">
        <v>912</v>
      </c>
      <c r="I110" s="3" t="s">
        <v>58</v>
      </c>
      <c r="J110" s="3" t="s">
        <v>18</v>
      </c>
      <c r="K110" s="3" t="s">
        <v>36</v>
      </c>
      <c r="L110">
        <v>2527</v>
      </c>
      <c r="M110" s="3" t="s">
        <v>913</v>
      </c>
      <c r="N110">
        <v>30324</v>
      </c>
      <c r="O110">
        <v>6064.8</v>
      </c>
      <c r="P110">
        <v>3</v>
      </c>
      <c r="Q110" s="3" t="s">
        <v>908</v>
      </c>
      <c r="R110">
        <v>3</v>
      </c>
      <c r="S110">
        <v>0</v>
      </c>
      <c r="T110" s="3" t="s">
        <v>909</v>
      </c>
      <c r="U110">
        <v>16</v>
      </c>
      <c r="V110" s="3" t="s">
        <v>910</v>
      </c>
    </row>
    <row r="111" spans="1:22" x14ac:dyDescent="0.3">
      <c r="A111">
        <v>110</v>
      </c>
      <c r="B111" s="3" t="s">
        <v>210</v>
      </c>
      <c r="C111" s="3" t="s">
        <v>211</v>
      </c>
      <c r="D111" s="3" t="s">
        <v>1023</v>
      </c>
      <c r="E111" s="3" t="s">
        <v>307</v>
      </c>
      <c r="F111" s="1">
        <v>43362</v>
      </c>
      <c r="G111">
        <v>7</v>
      </c>
      <c r="H111" s="3" t="s">
        <v>907</v>
      </c>
      <c r="I111" s="3" t="s">
        <v>58</v>
      </c>
      <c r="J111" s="3" t="s">
        <v>18</v>
      </c>
      <c r="K111" s="3" t="s">
        <v>42</v>
      </c>
      <c r="L111">
        <v>3017</v>
      </c>
      <c r="M111" s="3" t="s">
        <v>913</v>
      </c>
      <c r="N111">
        <v>36204</v>
      </c>
      <c r="O111">
        <v>5172</v>
      </c>
      <c r="P111">
        <v>4.5</v>
      </c>
      <c r="Q111" s="3" t="s">
        <v>913</v>
      </c>
      <c r="R111">
        <v>0</v>
      </c>
      <c r="S111">
        <v>4</v>
      </c>
      <c r="T111" s="3" t="s">
        <v>908</v>
      </c>
      <c r="U111">
        <v>4</v>
      </c>
      <c r="V111" s="3" t="s">
        <v>917</v>
      </c>
    </row>
    <row r="112" spans="1:22" x14ac:dyDescent="0.3">
      <c r="A112">
        <v>111</v>
      </c>
      <c r="B112" s="3" t="s">
        <v>212</v>
      </c>
      <c r="C112" s="3" t="s">
        <v>213</v>
      </c>
      <c r="D112" s="3" t="s">
        <v>1024</v>
      </c>
      <c r="E112" s="3" t="s">
        <v>307</v>
      </c>
      <c r="F112" s="1">
        <v>42480</v>
      </c>
      <c r="G112">
        <v>10</v>
      </c>
      <c r="H112" s="3" t="s">
        <v>920</v>
      </c>
      <c r="I112" s="3" t="s">
        <v>41</v>
      </c>
      <c r="J112" s="3" t="s">
        <v>22</v>
      </c>
      <c r="K112" s="3" t="s">
        <v>36</v>
      </c>
      <c r="L112">
        <v>1639</v>
      </c>
      <c r="M112" s="3" t="s">
        <v>908</v>
      </c>
      <c r="N112">
        <v>19668</v>
      </c>
      <c r="O112">
        <v>1966.8</v>
      </c>
      <c r="P112">
        <v>5</v>
      </c>
      <c r="Q112" s="3" t="s">
        <v>913</v>
      </c>
      <c r="R112">
        <v>0</v>
      </c>
      <c r="S112">
        <v>0</v>
      </c>
      <c r="T112" s="3" t="s">
        <v>916</v>
      </c>
      <c r="U112">
        <v>2</v>
      </c>
      <c r="V112" s="3" t="s">
        <v>917</v>
      </c>
    </row>
    <row r="113" spans="1:22" x14ac:dyDescent="0.3">
      <c r="A113">
        <v>112</v>
      </c>
      <c r="B113" s="3" t="s">
        <v>186</v>
      </c>
      <c r="C113" s="3" t="s">
        <v>214</v>
      </c>
      <c r="D113" s="3" t="s">
        <v>1025</v>
      </c>
      <c r="E113" s="3" t="s">
        <v>32</v>
      </c>
      <c r="F113" s="1">
        <v>43742</v>
      </c>
      <c r="G113">
        <v>6</v>
      </c>
      <c r="H113" s="3" t="s">
        <v>912</v>
      </c>
      <c r="I113" s="3" t="s">
        <v>50</v>
      </c>
      <c r="J113" s="3" t="s">
        <v>18</v>
      </c>
      <c r="K113" s="3" t="s">
        <v>42</v>
      </c>
      <c r="L113">
        <v>1867</v>
      </c>
      <c r="M113" s="3" t="s">
        <v>908</v>
      </c>
      <c r="N113">
        <v>22404</v>
      </c>
      <c r="O113">
        <v>3734</v>
      </c>
      <c r="P113">
        <v>3</v>
      </c>
      <c r="Q113" s="3" t="s">
        <v>908</v>
      </c>
      <c r="R113">
        <v>1</v>
      </c>
      <c r="S113">
        <v>0</v>
      </c>
      <c r="T113" s="3" t="s">
        <v>909</v>
      </c>
      <c r="U113">
        <v>3</v>
      </c>
      <c r="V113" s="3" t="s">
        <v>917</v>
      </c>
    </row>
    <row r="114" spans="1:22" x14ac:dyDescent="0.3">
      <c r="A114">
        <v>113</v>
      </c>
      <c r="B114" s="3" t="s">
        <v>215</v>
      </c>
      <c r="C114" s="3" t="s">
        <v>216</v>
      </c>
      <c r="D114" s="3" t="s">
        <v>1026</v>
      </c>
      <c r="E114" s="3" t="s">
        <v>307</v>
      </c>
      <c r="F114" s="1">
        <v>42659</v>
      </c>
      <c r="G114">
        <v>9</v>
      </c>
      <c r="H114" s="3" t="s">
        <v>920</v>
      </c>
      <c r="I114" s="3" t="s">
        <v>77</v>
      </c>
      <c r="J114" s="3" t="s">
        <v>29</v>
      </c>
      <c r="K114" s="3" t="s">
        <v>42</v>
      </c>
      <c r="L114">
        <v>2314</v>
      </c>
      <c r="M114" s="3" t="s">
        <v>908</v>
      </c>
      <c r="N114">
        <v>27768</v>
      </c>
      <c r="O114">
        <v>3085.3333333333335</v>
      </c>
      <c r="P114">
        <v>2</v>
      </c>
      <c r="Q114" s="3" t="s">
        <v>909</v>
      </c>
      <c r="R114">
        <v>0</v>
      </c>
      <c r="S114">
        <v>3</v>
      </c>
      <c r="T114" s="3" t="s">
        <v>909</v>
      </c>
      <c r="U114">
        <v>5</v>
      </c>
      <c r="V114" s="3" t="s">
        <v>917</v>
      </c>
    </row>
    <row r="115" spans="1:22" x14ac:dyDescent="0.3">
      <c r="A115">
        <v>114</v>
      </c>
      <c r="B115" s="3" t="s">
        <v>217</v>
      </c>
      <c r="C115" s="3" t="s">
        <v>218</v>
      </c>
      <c r="D115" s="3" t="s">
        <v>1027</v>
      </c>
      <c r="E115" s="3" t="s">
        <v>307</v>
      </c>
      <c r="F115" s="1">
        <v>42770</v>
      </c>
      <c r="G115">
        <v>9</v>
      </c>
      <c r="H115" s="3" t="s">
        <v>920</v>
      </c>
      <c r="I115" s="3" t="s">
        <v>17</v>
      </c>
      <c r="J115" s="3" t="s">
        <v>22</v>
      </c>
      <c r="K115" s="3" t="s">
        <v>42</v>
      </c>
      <c r="L115">
        <v>2679</v>
      </c>
      <c r="M115" s="3" t="s">
        <v>913</v>
      </c>
      <c r="N115">
        <v>32148</v>
      </c>
      <c r="O115">
        <v>3572</v>
      </c>
      <c r="P115">
        <v>5</v>
      </c>
      <c r="Q115" s="3" t="s">
        <v>913</v>
      </c>
      <c r="R115">
        <v>6</v>
      </c>
      <c r="S115">
        <v>0</v>
      </c>
      <c r="T115" s="3" t="s">
        <v>908</v>
      </c>
      <c r="U115">
        <v>1</v>
      </c>
      <c r="V115" s="3" t="s">
        <v>917</v>
      </c>
    </row>
    <row r="116" spans="1:22" x14ac:dyDescent="0.3">
      <c r="A116">
        <v>115</v>
      </c>
      <c r="B116" s="3" t="s">
        <v>219</v>
      </c>
      <c r="C116" s="3" t="s">
        <v>220</v>
      </c>
      <c r="D116" s="3" t="s">
        <v>1028</v>
      </c>
      <c r="E116" s="3" t="s">
        <v>32</v>
      </c>
      <c r="F116" s="1">
        <v>43618</v>
      </c>
      <c r="G116">
        <v>7</v>
      </c>
      <c r="H116" s="3" t="s">
        <v>907</v>
      </c>
      <c r="I116" s="3" t="s">
        <v>17</v>
      </c>
      <c r="J116" s="3" t="s">
        <v>18</v>
      </c>
      <c r="K116" s="3" t="s">
        <v>36</v>
      </c>
      <c r="L116">
        <v>3166</v>
      </c>
      <c r="M116" s="3" t="s">
        <v>913</v>
      </c>
      <c r="N116">
        <v>37992</v>
      </c>
      <c r="O116">
        <v>5427.4285714285716</v>
      </c>
      <c r="P116">
        <v>4.5</v>
      </c>
      <c r="Q116" s="3" t="s">
        <v>913</v>
      </c>
      <c r="R116">
        <v>5</v>
      </c>
      <c r="S116">
        <v>0</v>
      </c>
      <c r="T116" s="3" t="s">
        <v>908</v>
      </c>
      <c r="U116">
        <v>4</v>
      </c>
      <c r="V116" s="3" t="s">
        <v>917</v>
      </c>
    </row>
    <row r="117" spans="1:22" x14ac:dyDescent="0.3">
      <c r="A117">
        <v>116</v>
      </c>
      <c r="B117" s="3" t="s">
        <v>146</v>
      </c>
      <c r="C117" s="3" t="s">
        <v>221</v>
      </c>
      <c r="D117" s="3" t="s">
        <v>1029</v>
      </c>
      <c r="E117" s="3" t="s">
        <v>32</v>
      </c>
      <c r="F117" s="1">
        <v>43527</v>
      </c>
      <c r="G117">
        <v>7</v>
      </c>
      <c r="H117" s="3" t="s">
        <v>907</v>
      </c>
      <c r="I117" s="3" t="s">
        <v>28</v>
      </c>
      <c r="J117" s="3" t="s">
        <v>29</v>
      </c>
      <c r="K117" s="3" t="s">
        <v>42</v>
      </c>
      <c r="L117">
        <v>2429</v>
      </c>
      <c r="M117" s="3" t="s">
        <v>908</v>
      </c>
      <c r="N117">
        <v>29148</v>
      </c>
      <c r="O117">
        <v>4164</v>
      </c>
      <c r="P117">
        <v>5</v>
      </c>
      <c r="Q117" s="3" t="s">
        <v>913</v>
      </c>
      <c r="R117">
        <v>0</v>
      </c>
      <c r="S117">
        <v>0</v>
      </c>
      <c r="T117" s="3" t="s">
        <v>916</v>
      </c>
      <c r="U117">
        <v>7</v>
      </c>
      <c r="V117" s="3" t="s">
        <v>917</v>
      </c>
    </row>
    <row r="118" spans="1:22" x14ac:dyDescent="0.3">
      <c r="A118">
        <v>117</v>
      </c>
      <c r="B118" s="3" t="s">
        <v>33</v>
      </c>
      <c r="C118" s="3" t="s">
        <v>222</v>
      </c>
      <c r="D118" s="3" t="s">
        <v>1030</v>
      </c>
      <c r="E118" s="3" t="s">
        <v>32</v>
      </c>
      <c r="F118" s="1">
        <v>43744</v>
      </c>
      <c r="G118">
        <v>6</v>
      </c>
      <c r="H118" s="3" t="s">
        <v>912</v>
      </c>
      <c r="I118" s="3" t="s">
        <v>28</v>
      </c>
      <c r="J118" s="3" t="s">
        <v>29</v>
      </c>
      <c r="K118" s="3" t="s">
        <v>42</v>
      </c>
      <c r="L118">
        <v>1865</v>
      </c>
      <c r="M118" s="3" t="s">
        <v>908</v>
      </c>
      <c r="N118">
        <v>22380</v>
      </c>
      <c r="O118">
        <v>3730</v>
      </c>
      <c r="P118">
        <v>4.5</v>
      </c>
      <c r="Q118" s="3" t="s">
        <v>913</v>
      </c>
      <c r="R118">
        <v>0</v>
      </c>
      <c r="S118">
        <v>0</v>
      </c>
      <c r="T118" s="3" t="s">
        <v>916</v>
      </c>
      <c r="U118">
        <v>4</v>
      </c>
      <c r="V118" s="3" t="s">
        <v>917</v>
      </c>
    </row>
    <row r="119" spans="1:22" x14ac:dyDescent="0.3">
      <c r="A119">
        <v>118</v>
      </c>
      <c r="B119" s="3" t="s">
        <v>33</v>
      </c>
      <c r="C119" s="3" t="s">
        <v>223</v>
      </c>
      <c r="D119" s="3" t="s">
        <v>1031</v>
      </c>
      <c r="E119" s="3" t="s">
        <v>32</v>
      </c>
      <c r="F119" s="1">
        <v>43146</v>
      </c>
      <c r="G119">
        <v>8</v>
      </c>
      <c r="H119" s="3" t="s">
        <v>907</v>
      </c>
      <c r="I119" s="3" t="s">
        <v>41</v>
      </c>
      <c r="J119" s="3" t="s">
        <v>29</v>
      </c>
      <c r="K119" s="3" t="s">
        <v>60</v>
      </c>
      <c r="L119">
        <v>868</v>
      </c>
      <c r="M119" s="3" t="s">
        <v>909</v>
      </c>
      <c r="N119">
        <v>10416</v>
      </c>
      <c r="O119">
        <v>1302</v>
      </c>
      <c r="P119">
        <v>4.5</v>
      </c>
      <c r="Q119" s="3" t="s">
        <v>913</v>
      </c>
      <c r="R119">
        <v>2</v>
      </c>
      <c r="S119">
        <v>0</v>
      </c>
      <c r="T119" s="3" t="s">
        <v>909</v>
      </c>
      <c r="U119">
        <v>2</v>
      </c>
      <c r="V119" s="3" t="s">
        <v>917</v>
      </c>
    </row>
    <row r="120" spans="1:22" x14ac:dyDescent="0.3">
      <c r="A120">
        <v>119</v>
      </c>
      <c r="B120" s="3" t="s">
        <v>33</v>
      </c>
      <c r="C120" s="3" t="s">
        <v>224</v>
      </c>
      <c r="D120" s="3" t="s">
        <v>1032</v>
      </c>
      <c r="E120" s="3" t="s">
        <v>32</v>
      </c>
      <c r="F120" s="1">
        <v>43558</v>
      </c>
      <c r="G120">
        <v>7</v>
      </c>
      <c r="H120" s="3" t="s">
        <v>907</v>
      </c>
      <c r="I120" s="3" t="s">
        <v>28</v>
      </c>
      <c r="J120" s="3" t="s">
        <v>18</v>
      </c>
      <c r="K120" s="3" t="s">
        <v>19</v>
      </c>
      <c r="L120">
        <v>3411</v>
      </c>
      <c r="M120" s="3" t="s">
        <v>913</v>
      </c>
      <c r="N120">
        <v>40932</v>
      </c>
      <c r="O120">
        <v>5847.4285714285716</v>
      </c>
      <c r="P120">
        <v>5</v>
      </c>
      <c r="Q120" s="3" t="s">
        <v>913</v>
      </c>
      <c r="R120">
        <v>4</v>
      </c>
      <c r="S120">
        <v>0</v>
      </c>
      <c r="T120" s="3" t="s">
        <v>908</v>
      </c>
      <c r="U120">
        <v>2</v>
      </c>
      <c r="V120" s="3" t="s">
        <v>917</v>
      </c>
    </row>
    <row r="121" spans="1:22" x14ac:dyDescent="0.3">
      <c r="A121">
        <v>120</v>
      </c>
      <c r="B121" s="3" t="s">
        <v>225</v>
      </c>
      <c r="C121" s="3" t="s">
        <v>226</v>
      </c>
      <c r="D121" s="3" t="s">
        <v>1033</v>
      </c>
      <c r="E121" s="3" t="s">
        <v>307</v>
      </c>
      <c r="F121" s="1">
        <v>42687</v>
      </c>
      <c r="G121">
        <v>9</v>
      </c>
      <c r="H121" s="3" t="s">
        <v>920</v>
      </c>
      <c r="I121" s="3" t="s">
        <v>58</v>
      </c>
      <c r="J121" s="3" t="s">
        <v>48</v>
      </c>
      <c r="K121" s="3" t="s">
        <v>36</v>
      </c>
      <c r="L121">
        <v>3324</v>
      </c>
      <c r="M121" s="3" t="s">
        <v>913</v>
      </c>
      <c r="N121">
        <v>39888</v>
      </c>
      <c r="O121">
        <v>4432</v>
      </c>
      <c r="P121">
        <v>3</v>
      </c>
      <c r="Q121" s="3" t="s">
        <v>908</v>
      </c>
      <c r="R121">
        <v>5</v>
      </c>
      <c r="S121">
        <v>0</v>
      </c>
      <c r="T121" s="3" t="s">
        <v>908</v>
      </c>
      <c r="U121">
        <v>7</v>
      </c>
      <c r="V121" s="3" t="s">
        <v>917</v>
      </c>
    </row>
    <row r="122" spans="1:22" x14ac:dyDescent="0.3">
      <c r="A122">
        <v>121</v>
      </c>
      <c r="B122" s="3" t="s">
        <v>227</v>
      </c>
      <c r="C122" s="3" t="s">
        <v>228</v>
      </c>
      <c r="D122" s="3" t="s">
        <v>1034</v>
      </c>
      <c r="E122" s="3" t="s">
        <v>32</v>
      </c>
      <c r="F122" s="1">
        <v>43762</v>
      </c>
      <c r="G122">
        <v>6</v>
      </c>
      <c r="H122" s="3" t="s">
        <v>912</v>
      </c>
      <c r="I122" s="3" t="s">
        <v>28</v>
      </c>
      <c r="J122" s="3" t="s">
        <v>29</v>
      </c>
      <c r="K122" s="3" t="s">
        <v>42</v>
      </c>
      <c r="L122">
        <v>2715</v>
      </c>
      <c r="M122" s="3" t="s">
        <v>913</v>
      </c>
      <c r="N122">
        <v>32580</v>
      </c>
      <c r="O122">
        <v>5430</v>
      </c>
      <c r="P122">
        <v>1</v>
      </c>
      <c r="Q122" s="3" t="s">
        <v>909</v>
      </c>
      <c r="R122">
        <v>0</v>
      </c>
      <c r="S122">
        <v>3</v>
      </c>
      <c r="T122" s="3" t="s">
        <v>909</v>
      </c>
      <c r="U122">
        <v>3</v>
      </c>
      <c r="V122" s="3" t="s">
        <v>917</v>
      </c>
    </row>
    <row r="123" spans="1:22" x14ac:dyDescent="0.3">
      <c r="A123">
        <v>122</v>
      </c>
      <c r="B123" s="3" t="s">
        <v>229</v>
      </c>
      <c r="C123" s="3" t="s">
        <v>230</v>
      </c>
      <c r="D123" s="3" t="s">
        <v>1035</v>
      </c>
      <c r="E123" s="3" t="s">
        <v>307</v>
      </c>
      <c r="F123" s="1">
        <v>43674</v>
      </c>
      <c r="G123">
        <v>7</v>
      </c>
      <c r="H123" s="3" t="s">
        <v>907</v>
      </c>
      <c r="I123" s="3" t="s">
        <v>77</v>
      </c>
      <c r="J123" s="3" t="s">
        <v>29</v>
      </c>
      <c r="K123" s="3" t="s">
        <v>19</v>
      </c>
      <c r="L123">
        <v>2664</v>
      </c>
      <c r="M123" s="3" t="s">
        <v>913</v>
      </c>
      <c r="N123">
        <v>31968</v>
      </c>
      <c r="O123">
        <v>4566.8571428571431</v>
      </c>
      <c r="P123">
        <v>4.5</v>
      </c>
      <c r="Q123" s="3" t="s">
        <v>913</v>
      </c>
      <c r="R123">
        <v>1</v>
      </c>
      <c r="S123">
        <v>0</v>
      </c>
      <c r="T123" s="3" t="s">
        <v>909</v>
      </c>
      <c r="U123">
        <v>9</v>
      </c>
      <c r="V123" s="3" t="s">
        <v>917</v>
      </c>
    </row>
    <row r="124" spans="1:22" x14ac:dyDescent="0.3">
      <c r="A124">
        <v>123</v>
      </c>
      <c r="B124" s="3" t="s">
        <v>195</v>
      </c>
      <c r="C124" s="3" t="s">
        <v>231</v>
      </c>
      <c r="D124" s="3" t="s">
        <v>1036</v>
      </c>
      <c r="E124" s="3" t="s">
        <v>32</v>
      </c>
      <c r="F124" s="1">
        <v>44134</v>
      </c>
      <c r="G124">
        <v>5</v>
      </c>
      <c r="H124" s="3" t="s">
        <v>912</v>
      </c>
      <c r="I124" s="3" t="s">
        <v>17</v>
      </c>
      <c r="J124" s="3" t="s">
        <v>22</v>
      </c>
      <c r="K124" s="3" t="s">
        <v>42</v>
      </c>
      <c r="L124">
        <v>1801</v>
      </c>
      <c r="M124" s="3" t="s">
        <v>908</v>
      </c>
      <c r="N124">
        <v>21612</v>
      </c>
      <c r="O124">
        <v>4322.3999999999996</v>
      </c>
      <c r="P124">
        <v>5</v>
      </c>
      <c r="Q124" s="3" t="s">
        <v>913</v>
      </c>
      <c r="R124">
        <v>0</v>
      </c>
      <c r="S124">
        <v>0</v>
      </c>
      <c r="T124" s="3" t="s">
        <v>916</v>
      </c>
      <c r="U124">
        <v>82</v>
      </c>
      <c r="V124" s="3" t="s">
        <v>910</v>
      </c>
    </row>
    <row r="125" spans="1:22" x14ac:dyDescent="0.3">
      <c r="A125">
        <v>124</v>
      </c>
      <c r="B125" s="3" t="s">
        <v>232</v>
      </c>
      <c r="C125" s="3" t="s">
        <v>233</v>
      </c>
      <c r="D125" s="3" t="s">
        <v>1037</v>
      </c>
      <c r="E125" s="3" t="s">
        <v>307</v>
      </c>
      <c r="F125" s="1">
        <v>43125</v>
      </c>
      <c r="G125">
        <v>8</v>
      </c>
      <c r="H125" s="3" t="s">
        <v>907</v>
      </c>
      <c r="I125" s="3" t="s">
        <v>28</v>
      </c>
      <c r="J125" s="3" t="s">
        <v>29</v>
      </c>
      <c r="K125" s="3" t="s">
        <v>42</v>
      </c>
      <c r="L125">
        <v>1452</v>
      </c>
      <c r="M125" s="3" t="s">
        <v>909</v>
      </c>
      <c r="N125">
        <v>17424</v>
      </c>
      <c r="O125">
        <v>2178</v>
      </c>
      <c r="P125">
        <v>3</v>
      </c>
      <c r="Q125" s="3" t="s">
        <v>908</v>
      </c>
      <c r="R125">
        <v>0</v>
      </c>
      <c r="S125">
        <v>0</v>
      </c>
      <c r="T125" s="3" t="s">
        <v>916</v>
      </c>
      <c r="U125">
        <v>0</v>
      </c>
      <c r="V125" s="3" t="s">
        <v>955</v>
      </c>
    </row>
    <row r="126" spans="1:22" x14ac:dyDescent="0.3">
      <c r="A126">
        <v>125</v>
      </c>
      <c r="B126" s="3" t="s">
        <v>234</v>
      </c>
      <c r="C126" s="3" t="s">
        <v>235</v>
      </c>
      <c r="D126" s="3" t="s">
        <v>1038</v>
      </c>
      <c r="E126" s="3" t="s">
        <v>32</v>
      </c>
      <c r="F126" s="1">
        <v>42914</v>
      </c>
      <c r="G126">
        <v>9</v>
      </c>
      <c r="H126" s="3" t="s">
        <v>920</v>
      </c>
      <c r="I126" s="3" t="s">
        <v>17</v>
      </c>
      <c r="J126" s="3" t="s">
        <v>29</v>
      </c>
      <c r="K126" s="3" t="s">
        <v>36</v>
      </c>
      <c r="L126">
        <v>2358</v>
      </c>
      <c r="M126" s="3" t="s">
        <v>908</v>
      </c>
      <c r="N126">
        <v>28296</v>
      </c>
      <c r="O126">
        <v>3144</v>
      </c>
      <c r="P126">
        <v>3</v>
      </c>
      <c r="Q126" s="3" t="s">
        <v>908</v>
      </c>
      <c r="R126">
        <v>0</v>
      </c>
      <c r="S126">
        <v>0</v>
      </c>
      <c r="T126" s="3" t="s">
        <v>916</v>
      </c>
      <c r="U126">
        <v>14</v>
      </c>
      <c r="V126" s="3" t="s">
        <v>910</v>
      </c>
    </row>
    <row r="127" spans="1:22" x14ac:dyDescent="0.3">
      <c r="A127">
        <v>126</v>
      </c>
      <c r="B127" s="3" t="s">
        <v>236</v>
      </c>
      <c r="C127" s="3" t="s">
        <v>237</v>
      </c>
      <c r="D127" s="3" t="s">
        <v>1039</v>
      </c>
      <c r="E127" s="3" t="s">
        <v>307</v>
      </c>
      <c r="F127" s="1">
        <v>43688</v>
      </c>
      <c r="G127">
        <v>7</v>
      </c>
      <c r="H127" s="3" t="s">
        <v>907</v>
      </c>
      <c r="I127" s="3" t="s">
        <v>28</v>
      </c>
      <c r="J127" s="3" t="s">
        <v>18</v>
      </c>
      <c r="K127" s="3" t="s">
        <v>36</v>
      </c>
      <c r="L127">
        <v>784</v>
      </c>
      <c r="M127" s="3" t="s">
        <v>909</v>
      </c>
      <c r="N127">
        <v>9408</v>
      </c>
      <c r="O127">
        <v>1344</v>
      </c>
      <c r="P127">
        <v>3</v>
      </c>
      <c r="Q127" s="3" t="s">
        <v>908</v>
      </c>
      <c r="R127">
        <v>2</v>
      </c>
      <c r="S127">
        <v>3</v>
      </c>
      <c r="T127" s="3" t="s">
        <v>908</v>
      </c>
      <c r="U127">
        <v>9</v>
      </c>
      <c r="V127" s="3" t="s">
        <v>917</v>
      </c>
    </row>
    <row r="128" spans="1:22" x14ac:dyDescent="0.3">
      <c r="A128">
        <v>127</v>
      </c>
      <c r="B128" s="3" t="s">
        <v>238</v>
      </c>
      <c r="C128" s="3" t="s">
        <v>239</v>
      </c>
      <c r="D128" s="3" t="s">
        <v>1040</v>
      </c>
      <c r="E128" s="3" t="s">
        <v>32</v>
      </c>
      <c r="F128" s="1">
        <v>42943</v>
      </c>
      <c r="G128">
        <v>9</v>
      </c>
      <c r="H128" s="3" t="s">
        <v>920</v>
      </c>
      <c r="I128" s="3" t="s">
        <v>28</v>
      </c>
      <c r="J128" s="3" t="s">
        <v>18</v>
      </c>
      <c r="K128" s="3" t="s">
        <v>42</v>
      </c>
      <c r="L128">
        <v>1423</v>
      </c>
      <c r="M128" s="3" t="s">
        <v>909</v>
      </c>
      <c r="N128">
        <v>17076</v>
      </c>
      <c r="O128">
        <v>1897.3333333333333</v>
      </c>
      <c r="P128">
        <v>3</v>
      </c>
      <c r="Q128" s="3" t="s">
        <v>908</v>
      </c>
      <c r="R128">
        <v>0</v>
      </c>
      <c r="S128">
        <v>0</v>
      </c>
      <c r="T128" s="3" t="s">
        <v>916</v>
      </c>
      <c r="U128">
        <v>4</v>
      </c>
      <c r="V128" s="3" t="s">
        <v>917</v>
      </c>
    </row>
    <row r="129" spans="1:22" x14ac:dyDescent="0.3">
      <c r="A129">
        <v>128</v>
      </c>
      <c r="B129" s="3" t="s">
        <v>158</v>
      </c>
      <c r="C129" s="3" t="s">
        <v>240</v>
      </c>
      <c r="D129" s="3" t="s">
        <v>1041</v>
      </c>
      <c r="E129" s="3" t="s">
        <v>32</v>
      </c>
      <c r="F129" s="1">
        <v>43309</v>
      </c>
      <c r="G129">
        <v>8</v>
      </c>
      <c r="H129" s="3" t="s">
        <v>907</v>
      </c>
      <c r="I129" s="3" t="s">
        <v>200</v>
      </c>
      <c r="J129" s="3" t="s">
        <v>29</v>
      </c>
      <c r="K129" s="3" t="s">
        <v>42</v>
      </c>
      <c r="L129">
        <v>2174</v>
      </c>
      <c r="M129" s="3" t="s">
        <v>908</v>
      </c>
      <c r="N129">
        <v>26088</v>
      </c>
      <c r="O129">
        <v>3261</v>
      </c>
      <c r="P129">
        <v>2</v>
      </c>
      <c r="Q129" s="3" t="s">
        <v>909</v>
      </c>
      <c r="R129">
        <v>6</v>
      </c>
      <c r="S129">
        <v>0</v>
      </c>
      <c r="T129" s="3" t="s">
        <v>908</v>
      </c>
      <c r="U129">
        <v>10</v>
      </c>
      <c r="V129" s="3" t="s">
        <v>917</v>
      </c>
    </row>
    <row r="130" spans="1:22" x14ac:dyDescent="0.3">
      <c r="A130">
        <v>129</v>
      </c>
      <c r="B130" s="3" t="s">
        <v>241</v>
      </c>
      <c r="C130" s="3" t="s">
        <v>242</v>
      </c>
      <c r="D130" s="3" t="s">
        <v>1042</v>
      </c>
      <c r="E130" s="3" t="s">
        <v>32</v>
      </c>
      <c r="F130" s="1">
        <v>44030</v>
      </c>
      <c r="G130">
        <v>6</v>
      </c>
      <c r="H130" s="3" t="s">
        <v>912</v>
      </c>
      <c r="I130" s="3" t="s">
        <v>58</v>
      </c>
      <c r="J130" s="3" t="s">
        <v>18</v>
      </c>
      <c r="K130" s="3" t="s">
        <v>36</v>
      </c>
      <c r="L130">
        <v>2182</v>
      </c>
      <c r="M130" s="3" t="s">
        <v>908</v>
      </c>
      <c r="N130">
        <v>26184</v>
      </c>
      <c r="O130">
        <v>4364</v>
      </c>
      <c r="P130">
        <v>4.5</v>
      </c>
      <c r="Q130" s="3" t="s">
        <v>913</v>
      </c>
      <c r="R130">
        <v>6</v>
      </c>
      <c r="S130">
        <v>0</v>
      </c>
      <c r="T130" s="3" t="s">
        <v>908</v>
      </c>
      <c r="U130">
        <v>74</v>
      </c>
      <c r="V130" s="3" t="s">
        <v>910</v>
      </c>
    </row>
    <row r="131" spans="1:22" x14ac:dyDescent="0.3">
      <c r="A131">
        <v>130</v>
      </c>
      <c r="B131" s="3" t="s">
        <v>243</v>
      </c>
      <c r="C131" s="3" t="s">
        <v>244</v>
      </c>
      <c r="D131" s="3" t="s">
        <v>1043</v>
      </c>
      <c r="E131" s="3" t="s">
        <v>307</v>
      </c>
      <c r="F131" s="1">
        <v>43675</v>
      </c>
      <c r="G131">
        <v>7</v>
      </c>
      <c r="H131" s="3" t="s">
        <v>907</v>
      </c>
      <c r="I131" s="3" t="s">
        <v>17</v>
      </c>
      <c r="J131" s="3" t="s">
        <v>18</v>
      </c>
      <c r="K131" s="3" t="s">
        <v>42</v>
      </c>
      <c r="L131">
        <v>2437</v>
      </c>
      <c r="M131" s="3" t="s">
        <v>908</v>
      </c>
      <c r="N131">
        <v>29244</v>
      </c>
      <c r="O131">
        <v>4177.7142857142853</v>
      </c>
      <c r="P131">
        <v>3</v>
      </c>
      <c r="Q131" s="3" t="s">
        <v>908</v>
      </c>
      <c r="R131">
        <v>0</v>
      </c>
      <c r="S131">
        <v>0</v>
      </c>
      <c r="T131" s="3" t="s">
        <v>916</v>
      </c>
      <c r="U131">
        <v>2</v>
      </c>
      <c r="V131" s="3" t="s">
        <v>917</v>
      </c>
    </row>
    <row r="132" spans="1:22" x14ac:dyDescent="0.3">
      <c r="A132">
        <v>131</v>
      </c>
      <c r="B132" s="3" t="s">
        <v>59</v>
      </c>
      <c r="C132" s="3" t="s">
        <v>245</v>
      </c>
      <c r="D132" s="3" t="s">
        <v>1044</v>
      </c>
      <c r="E132" s="3" t="s">
        <v>307</v>
      </c>
      <c r="F132" s="1">
        <v>43726</v>
      </c>
      <c r="G132">
        <v>6</v>
      </c>
      <c r="H132" s="3" t="s">
        <v>912</v>
      </c>
      <c r="I132" s="3" t="s">
        <v>17</v>
      </c>
      <c r="J132" s="3" t="s">
        <v>18</v>
      </c>
      <c r="K132" s="3" t="s">
        <v>42</v>
      </c>
      <c r="L132">
        <v>926</v>
      </c>
      <c r="M132" s="3" t="s">
        <v>909</v>
      </c>
      <c r="N132">
        <v>11112</v>
      </c>
      <c r="O132">
        <v>1852</v>
      </c>
      <c r="P132">
        <v>2</v>
      </c>
      <c r="Q132" s="3" t="s">
        <v>909</v>
      </c>
      <c r="R132">
        <v>3</v>
      </c>
      <c r="S132">
        <v>0</v>
      </c>
      <c r="T132" s="3" t="s">
        <v>909</v>
      </c>
      <c r="U132">
        <v>1</v>
      </c>
      <c r="V132" s="3" t="s">
        <v>917</v>
      </c>
    </row>
    <row r="133" spans="1:22" x14ac:dyDescent="0.3">
      <c r="A133">
        <v>132</v>
      </c>
      <c r="B133" s="3" t="s">
        <v>246</v>
      </c>
      <c r="C133" s="3" t="s">
        <v>247</v>
      </c>
      <c r="D133" s="3" t="s">
        <v>1045</v>
      </c>
      <c r="E133" s="3" t="s">
        <v>32</v>
      </c>
      <c r="F133" s="1">
        <v>42765</v>
      </c>
      <c r="G133">
        <v>9</v>
      </c>
      <c r="H133" s="3" t="s">
        <v>920</v>
      </c>
      <c r="I133" s="3" t="s">
        <v>58</v>
      </c>
      <c r="J133" s="3" t="s">
        <v>29</v>
      </c>
      <c r="K133" s="3" t="s">
        <v>19</v>
      </c>
      <c r="L133">
        <v>1506</v>
      </c>
      <c r="M133" s="3" t="s">
        <v>908</v>
      </c>
      <c r="N133">
        <v>18072</v>
      </c>
      <c r="O133">
        <v>2008</v>
      </c>
      <c r="P133">
        <v>3</v>
      </c>
      <c r="Q133" s="3" t="s">
        <v>908</v>
      </c>
      <c r="R133">
        <v>0</v>
      </c>
      <c r="S133">
        <v>0</v>
      </c>
      <c r="T133" s="3" t="s">
        <v>916</v>
      </c>
      <c r="U133">
        <v>1</v>
      </c>
      <c r="V133" s="3" t="s">
        <v>917</v>
      </c>
    </row>
    <row r="134" spans="1:22" x14ac:dyDescent="0.3">
      <c r="A134">
        <v>133</v>
      </c>
      <c r="B134" s="3" t="s">
        <v>33</v>
      </c>
      <c r="C134" s="3" t="s">
        <v>165</v>
      </c>
      <c r="D134" s="3" t="s">
        <v>1046</v>
      </c>
      <c r="E134" s="3" t="s">
        <v>32</v>
      </c>
      <c r="F134" s="1">
        <v>43103</v>
      </c>
      <c r="G134">
        <v>8</v>
      </c>
      <c r="H134" s="3" t="s">
        <v>907</v>
      </c>
      <c r="I134" s="3" t="s">
        <v>50</v>
      </c>
      <c r="J134" s="3" t="s">
        <v>22</v>
      </c>
      <c r="K134" s="3" t="s">
        <v>36</v>
      </c>
      <c r="L134">
        <v>3159</v>
      </c>
      <c r="M134" s="3" t="s">
        <v>913</v>
      </c>
      <c r="N134">
        <v>37908</v>
      </c>
      <c r="O134">
        <v>4738.5</v>
      </c>
      <c r="P134">
        <v>5</v>
      </c>
      <c r="Q134" s="3" t="s">
        <v>913</v>
      </c>
      <c r="R134">
        <v>0</v>
      </c>
      <c r="S134">
        <v>0</v>
      </c>
      <c r="T134" s="3" t="s">
        <v>916</v>
      </c>
      <c r="U134">
        <v>10</v>
      </c>
      <c r="V134" s="3" t="s">
        <v>917</v>
      </c>
    </row>
    <row r="135" spans="1:22" x14ac:dyDescent="0.3">
      <c r="A135">
        <v>134</v>
      </c>
      <c r="B135" s="3" t="s">
        <v>248</v>
      </c>
      <c r="C135" s="3" t="s">
        <v>249</v>
      </c>
      <c r="D135" s="3" t="s">
        <v>1047</v>
      </c>
      <c r="E135" s="3" t="s">
        <v>32</v>
      </c>
      <c r="F135" s="1">
        <v>42982</v>
      </c>
      <c r="G135">
        <v>8</v>
      </c>
      <c r="H135" s="3" t="s">
        <v>907</v>
      </c>
      <c r="I135" s="3" t="s">
        <v>77</v>
      </c>
      <c r="J135" s="3" t="s">
        <v>48</v>
      </c>
      <c r="K135" s="3" t="s">
        <v>36</v>
      </c>
      <c r="L135">
        <v>1117</v>
      </c>
      <c r="M135" s="3" t="s">
        <v>909</v>
      </c>
      <c r="N135">
        <v>13404</v>
      </c>
      <c r="O135">
        <v>1675.5</v>
      </c>
      <c r="P135">
        <v>1</v>
      </c>
      <c r="Q135" s="3" t="s">
        <v>909</v>
      </c>
      <c r="R135">
        <v>0</v>
      </c>
      <c r="S135">
        <v>0</v>
      </c>
      <c r="T135" s="3" t="s">
        <v>916</v>
      </c>
      <c r="U135">
        <v>3</v>
      </c>
      <c r="V135" s="3" t="s">
        <v>917</v>
      </c>
    </row>
    <row r="136" spans="1:22" x14ac:dyDescent="0.3">
      <c r="A136">
        <v>135</v>
      </c>
      <c r="B136" s="3" t="s">
        <v>250</v>
      </c>
      <c r="C136" s="3" t="s">
        <v>251</v>
      </c>
      <c r="D136" s="3" t="s">
        <v>1048</v>
      </c>
      <c r="E136" s="3" t="s">
        <v>307</v>
      </c>
      <c r="F136" s="1">
        <v>43265</v>
      </c>
      <c r="G136">
        <v>8</v>
      </c>
      <c r="H136" s="3" t="s">
        <v>907</v>
      </c>
      <c r="I136" s="3" t="s">
        <v>17</v>
      </c>
      <c r="J136" s="3" t="s">
        <v>48</v>
      </c>
      <c r="K136" s="3" t="s">
        <v>19</v>
      </c>
      <c r="L136">
        <v>2379</v>
      </c>
      <c r="M136" s="3" t="s">
        <v>908</v>
      </c>
      <c r="N136">
        <v>28548</v>
      </c>
      <c r="O136">
        <v>3568.5</v>
      </c>
      <c r="P136">
        <v>4.5</v>
      </c>
      <c r="Q136" s="3" t="s">
        <v>913</v>
      </c>
      <c r="R136">
        <v>0</v>
      </c>
      <c r="S136">
        <v>0</v>
      </c>
      <c r="T136" s="3" t="s">
        <v>916</v>
      </c>
      <c r="U136">
        <v>7</v>
      </c>
      <c r="V136" s="3" t="s">
        <v>917</v>
      </c>
    </row>
    <row r="137" spans="1:22" x14ac:dyDescent="0.3">
      <c r="A137">
        <v>136</v>
      </c>
      <c r="B137" s="3" t="s">
        <v>252</v>
      </c>
      <c r="C137" s="3" t="s">
        <v>216</v>
      </c>
      <c r="D137" s="3" t="s">
        <v>1049</v>
      </c>
      <c r="E137" s="3" t="s">
        <v>32</v>
      </c>
      <c r="F137" s="1">
        <v>43797</v>
      </c>
      <c r="G137">
        <v>6</v>
      </c>
      <c r="H137" s="3" t="s">
        <v>912</v>
      </c>
      <c r="I137" s="3" t="s">
        <v>28</v>
      </c>
      <c r="J137" s="3" t="s">
        <v>18</v>
      </c>
      <c r="K137" s="3" t="s">
        <v>42</v>
      </c>
      <c r="L137">
        <v>2372</v>
      </c>
      <c r="M137" s="3" t="s">
        <v>908</v>
      </c>
      <c r="N137">
        <v>28464</v>
      </c>
      <c r="O137">
        <v>4744</v>
      </c>
      <c r="P137">
        <v>5</v>
      </c>
      <c r="Q137" s="3" t="s">
        <v>913</v>
      </c>
      <c r="R137">
        <v>4</v>
      </c>
      <c r="S137">
        <v>1</v>
      </c>
      <c r="T137" s="3" t="s">
        <v>908</v>
      </c>
      <c r="U137">
        <v>6</v>
      </c>
      <c r="V137" s="3" t="s">
        <v>917</v>
      </c>
    </row>
    <row r="138" spans="1:22" x14ac:dyDescent="0.3">
      <c r="A138">
        <v>137</v>
      </c>
      <c r="B138" s="3" t="s">
        <v>253</v>
      </c>
      <c r="C138" s="3" t="s">
        <v>254</v>
      </c>
      <c r="D138" s="3" t="s">
        <v>1050</v>
      </c>
      <c r="E138" s="3" t="s">
        <v>32</v>
      </c>
      <c r="F138" s="1">
        <v>43870</v>
      </c>
      <c r="G138">
        <v>6</v>
      </c>
      <c r="H138" s="3" t="s">
        <v>912</v>
      </c>
      <c r="I138" s="3" t="s">
        <v>77</v>
      </c>
      <c r="J138" s="3" t="s">
        <v>18</v>
      </c>
      <c r="K138" s="3" t="s">
        <v>36</v>
      </c>
      <c r="L138">
        <v>2908</v>
      </c>
      <c r="M138" s="3" t="s">
        <v>913</v>
      </c>
      <c r="N138">
        <v>34896</v>
      </c>
      <c r="O138">
        <v>5816</v>
      </c>
      <c r="P138">
        <v>3</v>
      </c>
      <c r="Q138" s="3" t="s">
        <v>908</v>
      </c>
      <c r="R138">
        <v>0</v>
      </c>
      <c r="S138">
        <v>0</v>
      </c>
      <c r="T138" s="3" t="s">
        <v>916</v>
      </c>
      <c r="U138">
        <v>12</v>
      </c>
      <c r="V138" s="3" t="s">
        <v>910</v>
      </c>
    </row>
    <row r="139" spans="1:22" x14ac:dyDescent="0.3">
      <c r="A139">
        <v>138</v>
      </c>
      <c r="B139" s="3" t="s">
        <v>172</v>
      </c>
      <c r="C139" s="3" t="s">
        <v>255</v>
      </c>
      <c r="D139" s="3" t="s">
        <v>1051</v>
      </c>
      <c r="E139" s="3" t="s">
        <v>307</v>
      </c>
      <c r="F139" s="1">
        <v>43963</v>
      </c>
      <c r="G139">
        <v>6</v>
      </c>
      <c r="H139" s="3" t="s">
        <v>912</v>
      </c>
      <c r="I139" s="3" t="s">
        <v>93</v>
      </c>
      <c r="J139" s="3" t="s">
        <v>18</v>
      </c>
      <c r="K139" s="3" t="s">
        <v>42</v>
      </c>
      <c r="L139">
        <v>2019</v>
      </c>
      <c r="M139" s="3" t="s">
        <v>908</v>
      </c>
      <c r="N139">
        <v>24228</v>
      </c>
      <c r="O139">
        <v>4038</v>
      </c>
      <c r="P139">
        <v>3</v>
      </c>
      <c r="Q139" s="3" t="s">
        <v>908</v>
      </c>
      <c r="R139">
        <v>5</v>
      </c>
      <c r="S139">
        <v>2</v>
      </c>
      <c r="T139" s="3" t="s">
        <v>913</v>
      </c>
      <c r="U139">
        <v>15</v>
      </c>
      <c r="V139" s="3" t="s">
        <v>910</v>
      </c>
    </row>
    <row r="140" spans="1:22" x14ac:dyDescent="0.3">
      <c r="A140">
        <v>139</v>
      </c>
      <c r="B140" s="3" t="s">
        <v>219</v>
      </c>
      <c r="C140" s="3" t="s">
        <v>256</v>
      </c>
      <c r="D140" s="3" t="s">
        <v>1052</v>
      </c>
      <c r="E140" s="3" t="s">
        <v>32</v>
      </c>
      <c r="F140" s="1">
        <v>43249</v>
      </c>
      <c r="G140">
        <v>8</v>
      </c>
      <c r="H140" s="3" t="s">
        <v>907</v>
      </c>
      <c r="I140" s="3" t="s">
        <v>28</v>
      </c>
      <c r="J140" s="3" t="s">
        <v>18</v>
      </c>
      <c r="K140" s="3" t="s">
        <v>36</v>
      </c>
      <c r="L140">
        <v>877</v>
      </c>
      <c r="M140" s="3" t="s">
        <v>909</v>
      </c>
      <c r="N140">
        <v>10524</v>
      </c>
      <c r="O140">
        <v>1315.5</v>
      </c>
      <c r="P140">
        <v>1</v>
      </c>
      <c r="Q140" s="3" t="s">
        <v>909</v>
      </c>
      <c r="R140">
        <v>0</v>
      </c>
      <c r="S140">
        <v>0</v>
      </c>
      <c r="T140" s="3" t="s">
        <v>916</v>
      </c>
      <c r="U140">
        <v>0</v>
      </c>
      <c r="V140" s="3" t="s">
        <v>955</v>
      </c>
    </row>
    <row r="141" spans="1:22" x14ac:dyDescent="0.3">
      <c r="A141">
        <v>140</v>
      </c>
      <c r="B141" s="3" t="s">
        <v>59</v>
      </c>
      <c r="C141" s="3" t="s">
        <v>257</v>
      </c>
      <c r="D141" s="3" t="s">
        <v>1053</v>
      </c>
      <c r="E141" s="3" t="s">
        <v>32</v>
      </c>
      <c r="F141" s="1">
        <v>43546</v>
      </c>
      <c r="G141">
        <v>7</v>
      </c>
      <c r="H141" s="3" t="s">
        <v>907</v>
      </c>
      <c r="I141" s="3" t="s">
        <v>58</v>
      </c>
      <c r="J141" s="3" t="s">
        <v>18</v>
      </c>
      <c r="K141" s="3" t="s">
        <v>36</v>
      </c>
      <c r="L141">
        <v>1043</v>
      </c>
      <c r="M141" s="3" t="s">
        <v>909</v>
      </c>
      <c r="N141">
        <v>12516</v>
      </c>
      <c r="O141">
        <v>1788</v>
      </c>
      <c r="P141">
        <v>5</v>
      </c>
      <c r="Q141" s="3" t="s">
        <v>913</v>
      </c>
      <c r="R141">
        <v>0</v>
      </c>
      <c r="S141">
        <v>0</v>
      </c>
      <c r="T141" s="3" t="s">
        <v>916</v>
      </c>
      <c r="U141">
        <v>0</v>
      </c>
      <c r="V141" s="3" t="s">
        <v>955</v>
      </c>
    </row>
    <row r="142" spans="1:22" x14ac:dyDescent="0.3">
      <c r="A142">
        <v>141</v>
      </c>
      <c r="B142" s="3" t="s">
        <v>258</v>
      </c>
      <c r="C142" s="3" t="s">
        <v>259</v>
      </c>
      <c r="D142" s="3" t="s">
        <v>1054</v>
      </c>
      <c r="E142" s="3" t="s">
        <v>307</v>
      </c>
      <c r="F142" s="1">
        <v>43698</v>
      </c>
      <c r="G142">
        <v>7</v>
      </c>
      <c r="H142" s="3" t="s">
        <v>907</v>
      </c>
      <c r="I142" s="3" t="s">
        <v>50</v>
      </c>
      <c r="J142" s="3" t="s">
        <v>29</v>
      </c>
      <c r="K142" s="3" t="s">
        <v>42</v>
      </c>
      <c r="L142">
        <v>3258</v>
      </c>
      <c r="M142" s="3" t="s">
        <v>913</v>
      </c>
      <c r="N142">
        <v>39096</v>
      </c>
      <c r="O142">
        <v>5585.1428571428569</v>
      </c>
      <c r="P142">
        <v>3</v>
      </c>
      <c r="Q142" s="3" t="s">
        <v>908</v>
      </c>
      <c r="R142">
        <v>3</v>
      </c>
      <c r="S142">
        <v>0</v>
      </c>
      <c r="T142" s="3" t="s">
        <v>909</v>
      </c>
      <c r="U142">
        <v>0</v>
      </c>
      <c r="V142" s="3" t="s">
        <v>955</v>
      </c>
    </row>
    <row r="143" spans="1:22" x14ac:dyDescent="0.3">
      <c r="A143">
        <v>142</v>
      </c>
      <c r="B143" s="3" t="s">
        <v>260</v>
      </c>
      <c r="C143" s="3" t="s">
        <v>80</v>
      </c>
      <c r="D143" s="3" t="s">
        <v>1055</v>
      </c>
      <c r="E143" s="3" t="s">
        <v>307</v>
      </c>
      <c r="F143" s="1">
        <v>44165</v>
      </c>
      <c r="G143">
        <v>5</v>
      </c>
      <c r="H143" s="3" t="s">
        <v>912</v>
      </c>
      <c r="I143" s="3" t="s">
        <v>77</v>
      </c>
      <c r="J143" s="3" t="s">
        <v>22</v>
      </c>
      <c r="K143" s="3" t="s">
        <v>36</v>
      </c>
      <c r="L143">
        <v>976</v>
      </c>
      <c r="M143" s="3" t="s">
        <v>909</v>
      </c>
      <c r="N143">
        <v>11712</v>
      </c>
      <c r="O143">
        <v>2342.4</v>
      </c>
      <c r="P143">
        <v>5</v>
      </c>
      <c r="Q143" s="3" t="s">
        <v>913</v>
      </c>
      <c r="R143">
        <v>5</v>
      </c>
      <c r="S143">
        <v>0</v>
      </c>
      <c r="T143" s="3" t="s">
        <v>908</v>
      </c>
      <c r="U143">
        <v>2</v>
      </c>
      <c r="V143" s="3" t="s">
        <v>917</v>
      </c>
    </row>
    <row r="144" spans="1:22" x14ac:dyDescent="0.3">
      <c r="A144">
        <v>143</v>
      </c>
      <c r="B144" s="3" t="s">
        <v>261</v>
      </c>
      <c r="C144" s="3" t="s">
        <v>138</v>
      </c>
      <c r="D144" s="3" t="s">
        <v>1056</v>
      </c>
      <c r="E144" s="3" t="s">
        <v>307</v>
      </c>
      <c r="F144" s="1">
        <v>43571</v>
      </c>
      <c r="G144">
        <v>7</v>
      </c>
      <c r="H144" s="3" t="s">
        <v>907</v>
      </c>
      <c r="I144" s="3" t="s">
        <v>41</v>
      </c>
      <c r="J144" s="3" t="s">
        <v>18</v>
      </c>
      <c r="K144" s="3" t="s">
        <v>42</v>
      </c>
      <c r="L144">
        <v>3096</v>
      </c>
      <c r="M144" s="3" t="s">
        <v>913</v>
      </c>
      <c r="N144">
        <v>37152</v>
      </c>
      <c r="O144">
        <v>5307.4285714285716</v>
      </c>
      <c r="P144">
        <v>2</v>
      </c>
      <c r="Q144" s="3" t="s">
        <v>909</v>
      </c>
      <c r="R144">
        <v>0</v>
      </c>
      <c r="S144">
        <v>0</v>
      </c>
      <c r="T144" s="3" t="s">
        <v>916</v>
      </c>
      <c r="U144">
        <v>8</v>
      </c>
      <c r="V144" s="3" t="s">
        <v>917</v>
      </c>
    </row>
    <row r="145" spans="1:22" x14ac:dyDescent="0.3">
      <c r="A145">
        <v>144</v>
      </c>
      <c r="B145" s="3" t="s">
        <v>121</v>
      </c>
      <c r="C145" s="3" t="s">
        <v>262</v>
      </c>
      <c r="D145" s="3" t="s">
        <v>1057</v>
      </c>
      <c r="E145" s="3" t="s">
        <v>307</v>
      </c>
      <c r="F145" s="1">
        <v>43551</v>
      </c>
      <c r="G145">
        <v>7</v>
      </c>
      <c r="H145" s="3" t="s">
        <v>907</v>
      </c>
      <c r="I145" s="3" t="s">
        <v>76</v>
      </c>
      <c r="J145" s="3" t="s">
        <v>18</v>
      </c>
      <c r="K145" s="3" t="s">
        <v>19</v>
      </c>
      <c r="L145">
        <v>1985</v>
      </c>
      <c r="M145" s="3" t="s">
        <v>908</v>
      </c>
      <c r="N145">
        <v>23820</v>
      </c>
      <c r="O145">
        <v>3402.8571428571427</v>
      </c>
      <c r="P145">
        <v>3</v>
      </c>
      <c r="Q145" s="3" t="s">
        <v>908</v>
      </c>
      <c r="R145">
        <v>6</v>
      </c>
      <c r="S145">
        <v>2</v>
      </c>
      <c r="T145" s="3" t="s">
        <v>913</v>
      </c>
      <c r="U145">
        <v>6</v>
      </c>
      <c r="V145" s="3" t="s">
        <v>917</v>
      </c>
    </row>
    <row r="146" spans="1:22" x14ac:dyDescent="0.3">
      <c r="A146">
        <v>145</v>
      </c>
      <c r="B146" s="3" t="s">
        <v>30</v>
      </c>
      <c r="C146" s="3" t="s">
        <v>33</v>
      </c>
      <c r="D146" s="3" t="s">
        <v>1058</v>
      </c>
      <c r="E146" s="3" t="s">
        <v>32</v>
      </c>
      <c r="F146" s="1">
        <v>43850</v>
      </c>
      <c r="G146">
        <v>6</v>
      </c>
      <c r="H146" s="3" t="s">
        <v>912</v>
      </c>
      <c r="I146" s="3" t="s">
        <v>35</v>
      </c>
      <c r="J146" s="3" t="s">
        <v>29</v>
      </c>
      <c r="K146" s="3" t="s">
        <v>42</v>
      </c>
      <c r="L146">
        <v>2371</v>
      </c>
      <c r="M146" s="3" t="s">
        <v>908</v>
      </c>
      <c r="N146">
        <v>28452</v>
      </c>
      <c r="O146">
        <v>4742</v>
      </c>
      <c r="P146">
        <v>5</v>
      </c>
      <c r="Q146" s="3" t="s">
        <v>913</v>
      </c>
      <c r="R146">
        <v>0</v>
      </c>
      <c r="S146">
        <v>0</v>
      </c>
      <c r="T146" s="3" t="s">
        <v>916</v>
      </c>
      <c r="U146">
        <v>1</v>
      </c>
      <c r="V146" s="3" t="s">
        <v>917</v>
      </c>
    </row>
    <row r="147" spans="1:22" x14ac:dyDescent="0.3">
      <c r="A147">
        <v>146</v>
      </c>
      <c r="B147" s="3" t="s">
        <v>263</v>
      </c>
      <c r="C147" s="3" t="s">
        <v>264</v>
      </c>
      <c r="D147" s="3" t="s">
        <v>1059</v>
      </c>
      <c r="E147" s="3" t="s">
        <v>32</v>
      </c>
      <c r="F147" s="1">
        <v>43520</v>
      </c>
      <c r="G147">
        <v>7</v>
      </c>
      <c r="H147" s="3" t="s">
        <v>907</v>
      </c>
      <c r="I147" s="3" t="s">
        <v>77</v>
      </c>
      <c r="J147" s="3" t="s">
        <v>18</v>
      </c>
      <c r="K147" s="3" t="s">
        <v>36</v>
      </c>
      <c r="L147">
        <v>2562</v>
      </c>
      <c r="M147" s="3" t="s">
        <v>913</v>
      </c>
      <c r="N147">
        <v>30744</v>
      </c>
      <c r="O147">
        <v>4392</v>
      </c>
      <c r="P147">
        <v>2</v>
      </c>
      <c r="Q147" s="3" t="s">
        <v>909</v>
      </c>
      <c r="R147">
        <v>4</v>
      </c>
      <c r="S147">
        <v>0</v>
      </c>
      <c r="T147" s="3" t="s">
        <v>908</v>
      </c>
      <c r="U147">
        <v>3</v>
      </c>
      <c r="V147" s="3" t="s">
        <v>917</v>
      </c>
    </row>
    <row r="148" spans="1:22" x14ac:dyDescent="0.3">
      <c r="A148">
        <v>147</v>
      </c>
      <c r="B148" s="3" t="s">
        <v>265</v>
      </c>
      <c r="C148" s="3" t="s">
        <v>266</v>
      </c>
      <c r="D148" s="3" t="s">
        <v>1060</v>
      </c>
      <c r="E148" s="3" t="s">
        <v>307</v>
      </c>
      <c r="F148" s="1">
        <v>44071</v>
      </c>
      <c r="G148">
        <v>6</v>
      </c>
      <c r="H148" s="3" t="s">
        <v>912</v>
      </c>
      <c r="I148" s="3" t="s">
        <v>17</v>
      </c>
      <c r="J148" s="3" t="s">
        <v>48</v>
      </c>
      <c r="K148" s="3" t="s">
        <v>42</v>
      </c>
      <c r="L148">
        <v>1254</v>
      </c>
      <c r="M148" s="3" t="s">
        <v>909</v>
      </c>
      <c r="N148">
        <v>15048</v>
      </c>
      <c r="O148">
        <v>2508</v>
      </c>
      <c r="P148">
        <v>5</v>
      </c>
      <c r="Q148" s="3" t="s">
        <v>913</v>
      </c>
      <c r="R148">
        <v>0</v>
      </c>
      <c r="S148">
        <v>0</v>
      </c>
      <c r="T148" s="3" t="s">
        <v>916</v>
      </c>
      <c r="U148">
        <v>8</v>
      </c>
      <c r="V148" s="3" t="s">
        <v>917</v>
      </c>
    </row>
    <row r="149" spans="1:22" x14ac:dyDescent="0.3">
      <c r="A149">
        <v>148</v>
      </c>
      <c r="B149" s="3" t="s">
        <v>20</v>
      </c>
      <c r="C149" s="3" t="s">
        <v>267</v>
      </c>
      <c r="D149" s="3" t="s">
        <v>1061</v>
      </c>
      <c r="E149" s="3" t="s">
        <v>32</v>
      </c>
      <c r="F149" s="1">
        <v>43173</v>
      </c>
      <c r="G149">
        <v>8</v>
      </c>
      <c r="H149" s="3" t="s">
        <v>907</v>
      </c>
      <c r="I149" s="3" t="s">
        <v>28</v>
      </c>
      <c r="J149" s="3" t="s">
        <v>48</v>
      </c>
      <c r="K149" s="3" t="s">
        <v>42</v>
      </c>
      <c r="L149">
        <v>793</v>
      </c>
      <c r="M149" s="3" t="s">
        <v>909</v>
      </c>
      <c r="N149">
        <v>9516</v>
      </c>
      <c r="O149">
        <v>1189.5</v>
      </c>
      <c r="P149">
        <v>5</v>
      </c>
      <c r="Q149" s="3" t="s">
        <v>913</v>
      </c>
      <c r="R149">
        <v>6</v>
      </c>
      <c r="S149">
        <v>0</v>
      </c>
      <c r="T149" s="3" t="s">
        <v>908</v>
      </c>
      <c r="U149">
        <v>2</v>
      </c>
      <c r="V149" s="3" t="s">
        <v>917</v>
      </c>
    </row>
    <row r="150" spans="1:22" x14ac:dyDescent="0.3">
      <c r="A150">
        <v>149</v>
      </c>
      <c r="B150" s="3" t="s">
        <v>268</v>
      </c>
      <c r="C150" s="3" t="s">
        <v>269</v>
      </c>
      <c r="D150" s="3" t="s">
        <v>1062</v>
      </c>
      <c r="E150" s="3" t="s">
        <v>307</v>
      </c>
      <c r="F150" s="1">
        <v>43007</v>
      </c>
      <c r="G150">
        <v>8</v>
      </c>
      <c r="H150" s="3" t="s">
        <v>907</v>
      </c>
      <c r="I150" s="3" t="s">
        <v>118</v>
      </c>
      <c r="J150" s="3" t="s">
        <v>18</v>
      </c>
      <c r="K150" s="3" t="s">
        <v>19</v>
      </c>
      <c r="L150">
        <v>2416</v>
      </c>
      <c r="M150" s="3" t="s">
        <v>908</v>
      </c>
      <c r="N150">
        <v>28992</v>
      </c>
      <c r="O150">
        <v>3624</v>
      </c>
      <c r="P150">
        <v>3</v>
      </c>
      <c r="Q150" s="3" t="s">
        <v>908</v>
      </c>
      <c r="R150">
        <v>0</v>
      </c>
      <c r="S150">
        <v>0</v>
      </c>
      <c r="T150" s="3" t="s">
        <v>916</v>
      </c>
      <c r="U150">
        <v>2</v>
      </c>
      <c r="V150" s="3" t="s">
        <v>917</v>
      </c>
    </row>
    <row r="151" spans="1:22" x14ac:dyDescent="0.3">
      <c r="A151">
        <v>150</v>
      </c>
      <c r="B151" s="3" t="s">
        <v>270</v>
      </c>
      <c r="C151" s="3" t="s">
        <v>271</v>
      </c>
      <c r="D151" s="3" t="s">
        <v>1063</v>
      </c>
      <c r="E151" s="3" t="s">
        <v>32</v>
      </c>
      <c r="F151" s="1">
        <v>42773</v>
      </c>
      <c r="G151">
        <v>9</v>
      </c>
      <c r="H151" s="3" t="s">
        <v>920</v>
      </c>
      <c r="I151" s="3" t="s">
        <v>53</v>
      </c>
      <c r="J151" s="3" t="s">
        <v>48</v>
      </c>
      <c r="K151" s="3" t="s">
        <v>36</v>
      </c>
      <c r="L151">
        <v>822</v>
      </c>
      <c r="M151" s="3" t="s">
        <v>909</v>
      </c>
      <c r="N151">
        <v>9864</v>
      </c>
      <c r="O151">
        <v>1096</v>
      </c>
      <c r="P151">
        <v>5</v>
      </c>
      <c r="Q151" s="3" t="s">
        <v>913</v>
      </c>
      <c r="R151">
        <v>6</v>
      </c>
      <c r="S151">
        <v>0</v>
      </c>
      <c r="T151" s="3" t="s">
        <v>908</v>
      </c>
      <c r="U151">
        <v>1</v>
      </c>
      <c r="V151" s="3" t="s">
        <v>917</v>
      </c>
    </row>
    <row r="152" spans="1:22" x14ac:dyDescent="0.3">
      <c r="A152">
        <v>151</v>
      </c>
      <c r="B152" s="3" t="s">
        <v>272</v>
      </c>
      <c r="C152" s="3" t="s">
        <v>273</v>
      </c>
      <c r="D152" s="3" t="s">
        <v>1064</v>
      </c>
      <c r="E152" s="3" t="s">
        <v>32</v>
      </c>
      <c r="F152" s="1">
        <v>44118</v>
      </c>
      <c r="G152">
        <v>5</v>
      </c>
      <c r="H152" s="3" t="s">
        <v>912</v>
      </c>
      <c r="I152" s="3" t="s">
        <v>28</v>
      </c>
      <c r="J152" s="3" t="s">
        <v>18</v>
      </c>
      <c r="K152" s="3" t="s">
        <v>60</v>
      </c>
      <c r="L152">
        <v>1442</v>
      </c>
      <c r="M152" s="3" t="s">
        <v>909</v>
      </c>
      <c r="N152">
        <v>17304</v>
      </c>
      <c r="O152">
        <v>3460.8</v>
      </c>
      <c r="P152">
        <v>5</v>
      </c>
      <c r="Q152" s="3" t="s">
        <v>913</v>
      </c>
      <c r="R152">
        <v>2</v>
      </c>
      <c r="S152">
        <v>1</v>
      </c>
      <c r="T152" s="3" t="s">
        <v>909</v>
      </c>
      <c r="U152">
        <v>23</v>
      </c>
      <c r="V152" s="3" t="s">
        <v>910</v>
      </c>
    </row>
    <row r="153" spans="1:22" x14ac:dyDescent="0.3">
      <c r="A153">
        <v>152</v>
      </c>
      <c r="B153" s="3" t="s">
        <v>37</v>
      </c>
      <c r="C153" s="3" t="s">
        <v>274</v>
      </c>
      <c r="D153" s="3" t="s">
        <v>1065</v>
      </c>
      <c r="E153" s="3" t="s">
        <v>307</v>
      </c>
      <c r="F153" s="1">
        <v>43780</v>
      </c>
      <c r="G153">
        <v>6</v>
      </c>
      <c r="H153" s="3" t="s">
        <v>912</v>
      </c>
      <c r="I153" s="3" t="s">
        <v>50</v>
      </c>
      <c r="J153" s="3" t="s">
        <v>18</v>
      </c>
      <c r="K153" s="3" t="s">
        <v>19</v>
      </c>
      <c r="L153">
        <v>887</v>
      </c>
      <c r="M153" s="3" t="s">
        <v>909</v>
      </c>
      <c r="N153">
        <v>10644</v>
      </c>
      <c r="O153">
        <v>1774</v>
      </c>
      <c r="P153">
        <v>4.5</v>
      </c>
      <c r="Q153" s="3" t="s">
        <v>913</v>
      </c>
      <c r="R153">
        <v>0</v>
      </c>
      <c r="S153">
        <v>0</v>
      </c>
      <c r="T153" s="3" t="s">
        <v>916</v>
      </c>
      <c r="U153">
        <v>54</v>
      </c>
      <c r="V153" s="3" t="s">
        <v>910</v>
      </c>
    </row>
    <row r="154" spans="1:22" x14ac:dyDescent="0.3">
      <c r="A154">
        <v>153</v>
      </c>
      <c r="B154" s="3" t="s">
        <v>275</v>
      </c>
      <c r="C154" s="3" t="s">
        <v>276</v>
      </c>
      <c r="D154" s="3" t="s">
        <v>1066</v>
      </c>
      <c r="E154" s="3" t="s">
        <v>307</v>
      </c>
      <c r="F154" s="1">
        <v>42792</v>
      </c>
      <c r="G154">
        <v>9</v>
      </c>
      <c r="H154" s="3" t="s">
        <v>920</v>
      </c>
      <c r="I154" s="3" t="s">
        <v>28</v>
      </c>
      <c r="J154" s="3" t="s">
        <v>18</v>
      </c>
      <c r="K154" s="3" t="s">
        <v>36</v>
      </c>
      <c r="L154">
        <v>1671</v>
      </c>
      <c r="M154" s="3" t="s">
        <v>908</v>
      </c>
      <c r="N154">
        <v>20052</v>
      </c>
      <c r="O154">
        <v>2228</v>
      </c>
      <c r="P154">
        <v>2</v>
      </c>
      <c r="Q154" s="3" t="s">
        <v>909</v>
      </c>
      <c r="R154">
        <v>0</v>
      </c>
      <c r="S154">
        <v>0</v>
      </c>
      <c r="T154" s="3" t="s">
        <v>916</v>
      </c>
      <c r="U154">
        <v>3</v>
      </c>
      <c r="V154" s="3" t="s">
        <v>917</v>
      </c>
    </row>
    <row r="155" spans="1:22" x14ac:dyDescent="0.3">
      <c r="A155">
        <v>154</v>
      </c>
      <c r="B155" s="3" t="s">
        <v>89</v>
      </c>
      <c r="C155" s="3" t="s">
        <v>277</v>
      </c>
      <c r="D155" s="3" t="s">
        <v>1067</v>
      </c>
      <c r="E155" s="3" t="s">
        <v>307</v>
      </c>
      <c r="F155" s="1">
        <v>43551</v>
      </c>
      <c r="G155">
        <v>7</v>
      </c>
      <c r="H155" s="3" t="s">
        <v>907</v>
      </c>
      <c r="I155" s="3" t="s">
        <v>41</v>
      </c>
      <c r="J155" s="3" t="s">
        <v>29</v>
      </c>
      <c r="K155" s="3" t="s">
        <v>42</v>
      </c>
      <c r="L155">
        <v>1877</v>
      </c>
      <c r="M155" s="3" t="s">
        <v>908</v>
      </c>
      <c r="N155">
        <v>22524</v>
      </c>
      <c r="O155">
        <v>3217.7142857142858</v>
      </c>
      <c r="P155">
        <v>4.5</v>
      </c>
      <c r="Q155" s="3" t="s">
        <v>913</v>
      </c>
      <c r="R155">
        <v>1</v>
      </c>
      <c r="S155">
        <v>0</v>
      </c>
      <c r="T155" s="3" t="s">
        <v>909</v>
      </c>
      <c r="U155">
        <v>0</v>
      </c>
      <c r="V155" s="3" t="s">
        <v>955</v>
      </c>
    </row>
    <row r="156" spans="1:22" x14ac:dyDescent="0.3">
      <c r="A156">
        <v>155</v>
      </c>
      <c r="B156" s="3" t="s">
        <v>278</v>
      </c>
      <c r="C156" s="3" t="s">
        <v>279</v>
      </c>
      <c r="D156" s="3" t="s">
        <v>1068</v>
      </c>
      <c r="E156" s="3" t="s">
        <v>307</v>
      </c>
      <c r="F156" s="1">
        <v>43529</v>
      </c>
      <c r="G156">
        <v>7</v>
      </c>
      <c r="H156" s="3" t="s">
        <v>907</v>
      </c>
      <c r="I156" s="3" t="s">
        <v>50</v>
      </c>
      <c r="J156" s="3" t="s">
        <v>29</v>
      </c>
      <c r="K156" s="3" t="s">
        <v>36</v>
      </c>
      <c r="L156">
        <v>1960</v>
      </c>
      <c r="M156" s="3" t="s">
        <v>908</v>
      </c>
      <c r="N156">
        <v>23520</v>
      </c>
      <c r="O156">
        <v>3360</v>
      </c>
      <c r="P156">
        <v>2</v>
      </c>
      <c r="Q156" s="3" t="s">
        <v>909</v>
      </c>
      <c r="R156">
        <v>0</v>
      </c>
      <c r="S156">
        <v>0</v>
      </c>
      <c r="T156" s="3" t="s">
        <v>916</v>
      </c>
      <c r="U156">
        <v>8</v>
      </c>
      <c r="V156" s="3" t="s">
        <v>917</v>
      </c>
    </row>
    <row r="157" spans="1:22" x14ac:dyDescent="0.3">
      <c r="A157">
        <v>156</v>
      </c>
      <c r="B157" s="3" t="s">
        <v>195</v>
      </c>
      <c r="C157" s="3" t="s">
        <v>66</v>
      </c>
      <c r="D157" s="3" t="s">
        <v>1069</v>
      </c>
      <c r="E157" s="3" t="s">
        <v>32</v>
      </c>
      <c r="F157" s="1">
        <v>43300</v>
      </c>
      <c r="G157">
        <v>8</v>
      </c>
      <c r="H157" s="3" t="s">
        <v>907</v>
      </c>
      <c r="I157" s="3" t="s">
        <v>28</v>
      </c>
      <c r="J157" s="3" t="s">
        <v>29</v>
      </c>
      <c r="K157" s="3" t="s">
        <v>42</v>
      </c>
      <c r="L157">
        <v>2422</v>
      </c>
      <c r="M157" s="3" t="s">
        <v>908</v>
      </c>
      <c r="N157">
        <v>29064</v>
      </c>
      <c r="O157">
        <v>3633</v>
      </c>
      <c r="P157">
        <v>4.5</v>
      </c>
      <c r="Q157" s="3" t="s">
        <v>913</v>
      </c>
      <c r="R157">
        <v>0</v>
      </c>
      <c r="S157">
        <v>2</v>
      </c>
      <c r="T157" s="3" t="s">
        <v>909</v>
      </c>
      <c r="U157">
        <v>10</v>
      </c>
      <c r="V157" s="3" t="s">
        <v>917</v>
      </c>
    </row>
    <row r="158" spans="1:22" x14ac:dyDescent="0.3">
      <c r="A158">
        <v>157</v>
      </c>
      <c r="B158" s="3" t="s">
        <v>280</v>
      </c>
      <c r="C158" s="3" t="s">
        <v>281</v>
      </c>
      <c r="D158" s="3" t="s">
        <v>1070</v>
      </c>
      <c r="E158" s="3" t="s">
        <v>307</v>
      </c>
      <c r="F158" s="1">
        <v>43683</v>
      </c>
      <c r="G158">
        <v>7</v>
      </c>
      <c r="H158" s="3" t="s">
        <v>907</v>
      </c>
      <c r="I158" s="3" t="s">
        <v>28</v>
      </c>
      <c r="J158" s="3" t="s">
        <v>22</v>
      </c>
      <c r="K158" s="3" t="s">
        <v>42</v>
      </c>
      <c r="L158">
        <v>1299</v>
      </c>
      <c r="M158" s="3" t="s">
        <v>909</v>
      </c>
      <c r="N158">
        <v>15588</v>
      </c>
      <c r="O158">
        <v>2226.8571428571427</v>
      </c>
      <c r="P158">
        <v>5</v>
      </c>
      <c r="Q158" s="3" t="s">
        <v>913</v>
      </c>
      <c r="R158">
        <v>0</v>
      </c>
      <c r="S158">
        <v>0</v>
      </c>
      <c r="T158" s="3" t="s">
        <v>916</v>
      </c>
      <c r="U158">
        <v>8</v>
      </c>
      <c r="V158" s="3" t="s">
        <v>917</v>
      </c>
    </row>
    <row r="159" spans="1:22" x14ac:dyDescent="0.3">
      <c r="A159">
        <v>158</v>
      </c>
      <c r="B159" s="3" t="s">
        <v>282</v>
      </c>
      <c r="C159" s="3" t="s">
        <v>283</v>
      </c>
      <c r="D159" s="3" t="s">
        <v>1071</v>
      </c>
      <c r="E159" s="3" t="s">
        <v>32</v>
      </c>
      <c r="F159" s="1">
        <v>43908</v>
      </c>
      <c r="G159">
        <v>6</v>
      </c>
      <c r="H159" s="3" t="s">
        <v>912</v>
      </c>
      <c r="I159" s="3" t="s">
        <v>25</v>
      </c>
      <c r="J159" s="3" t="s">
        <v>18</v>
      </c>
      <c r="K159" s="3" t="s">
        <v>60</v>
      </c>
      <c r="L159">
        <v>2127</v>
      </c>
      <c r="M159" s="3" t="s">
        <v>908</v>
      </c>
      <c r="N159">
        <v>25524</v>
      </c>
      <c r="O159">
        <v>4254</v>
      </c>
      <c r="P159">
        <v>5</v>
      </c>
      <c r="Q159" s="3" t="s">
        <v>913</v>
      </c>
      <c r="R159">
        <v>0</v>
      </c>
      <c r="S159">
        <v>0</v>
      </c>
      <c r="T159" s="3" t="s">
        <v>916</v>
      </c>
      <c r="U159">
        <v>3</v>
      </c>
      <c r="V159" s="3" t="s">
        <v>917</v>
      </c>
    </row>
    <row r="160" spans="1:22" x14ac:dyDescent="0.3">
      <c r="A160">
        <v>159</v>
      </c>
      <c r="B160" s="3" t="s">
        <v>121</v>
      </c>
      <c r="C160" s="3" t="s">
        <v>284</v>
      </c>
      <c r="D160" s="3" t="s">
        <v>1072</v>
      </c>
      <c r="E160" s="3" t="s">
        <v>307</v>
      </c>
      <c r="F160" s="1">
        <v>43653</v>
      </c>
      <c r="G160">
        <v>7</v>
      </c>
      <c r="H160" s="3" t="s">
        <v>907</v>
      </c>
      <c r="I160" s="3" t="s">
        <v>17</v>
      </c>
      <c r="J160" s="3" t="s">
        <v>18</v>
      </c>
      <c r="K160" s="3" t="s">
        <v>36</v>
      </c>
      <c r="L160">
        <v>3096</v>
      </c>
      <c r="M160" s="3" t="s">
        <v>913</v>
      </c>
      <c r="N160">
        <v>37152</v>
      </c>
      <c r="O160">
        <v>5307.4285714285716</v>
      </c>
      <c r="P160">
        <v>2</v>
      </c>
      <c r="Q160" s="3" t="s">
        <v>909</v>
      </c>
      <c r="R160">
        <v>5</v>
      </c>
      <c r="S160">
        <v>0</v>
      </c>
      <c r="T160" s="3" t="s">
        <v>908</v>
      </c>
      <c r="U160">
        <v>9</v>
      </c>
      <c r="V160" s="3" t="s">
        <v>917</v>
      </c>
    </row>
    <row r="161" spans="1:22" x14ac:dyDescent="0.3">
      <c r="A161">
        <v>160</v>
      </c>
      <c r="B161" s="3" t="s">
        <v>285</v>
      </c>
      <c r="C161" s="3" t="s">
        <v>286</v>
      </c>
      <c r="D161" s="3" t="s">
        <v>1073</v>
      </c>
      <c r="E161" s="3" t="s">
        <v>307</v>
      </c>
      <c r="F161" s="1">
        <v>42405</v>
      </c>
      <c r="G161">
        <v>10</v>
      </c>
      <c r="H161" s="3" t="s">
        <v>920</v>
      </c>
      <c r="I161" s="3" t="s">
        <v>28</v>
      </c>
      <c r="J161" s="3" t="s">
        <v>18</v>
      </c>
      <c r="K161" s="3" t="s">
        <v>19</v>
      </c>
      <c r="L161">
        <v>951</v>
      </c>
      <c r="M161" s="3" t="s">
        <v>909</v>
      </c>
      <c r="N161">
        <v>11412</v>
      </c>
      <c r="O161">
        <v>1141.2</v>
      </c>
      <c r="P161">
        <v>1</v>
      </c>
      <c r="Q161" s="3" t="s">
        <v>909</v>
      </c>
      <c r="R161">
        <v>6</v>
      </c>
      <c r="S161">
        <v>0</v>
      </c>
      <c r="T161" s="3" t="s">
        <v>908</v>
      </c>
      <c r="U161">
        <v>8</v>
      </c>
      <c r="V161" s="3" t="s">
        <v>917</v>
      </c>
    </row>
    <row r="162" spans="1:22" x14ac:dyDescent="0.3">
      <c r="A162">
        <v>161</v>
      </c>
      <c r="B162" s="3" t="s">
        <v>33</v>
      </c>
      <c r="C162" s="3" t="s">
        <v>287</v>
      </c>
      <c r="D162" s="3" t="s">
        <v>1074</v>
      </c>
      <c r="E162" s="3" t="s">
        <v>32</v>
      </c>
      <c r="F162" s="1">
        <v>43967</v>
      </c>
      <c r="G162">
        <v>6</v>
      </c>
      <c r="H162" s="3" t="s">
        <v>912</v>
      </c>
      <c r="I162" s="3" t="s">
        <v>28</v>
      </c>
      <c r="J162" s="3" t="s">
        <v>18</v>
      </c>
      <c r="K162" s="3" t="s">
        <v>36</v>
      </c>
      <c r="L162">
        <v>2940</v>
      </c>
      <c r="M162" s="3" t="s">
        <v>913</v>
      </c>
      <c r="N162">
        <v>35280</v>
      </c>
      <c r="O162">
        <v>5880</v>
      </c>
      <c r="P162">
        <v>1</v>
      </c>
      <c r="Q162" s="3" t="s">
        <v>909</v>
      </c>
      <c r="R162">
        <v>6</v>
      </c>
      <c r="S162">
        <v>0</v>
      </c>
      <c r="T162" s="3" t="s">
        <v>908</v>
      </c>
      <c r="U162">
        <v>13</v>
      </c>
      <c r="V162" s="3" t="s">
        <v>910</v>
      </c>
    </row>
    <row r="163" spans="1:22" x14ac:dyDescent="0.3">
      <c r="A163">
        <v>162</v>
      </c>
      <c r="B163" s="3" t="s">
        <v>288</v>
      </c>
      <c r="C163" s="3" t="s">
        <v>289</v>
      </c>
      <c r="D163" s="3" t="s">
        <v>1075</v>
      </c>
      <c r="E163" s="3" t="s">
        <v>307</v>
      </c>
      <c r="F163" s="1">
        <v>44102</v>
      </c>
      <c r="G163">
        <v>5</v>
      </c>
      <c r="H163" s="3" t="s">
        <v>912</v>
      </c>
      <c r="I163" s="3" t="s">
        <v>53</v>
      </c>
      <c r="J163" s="3" t="s">
        <v>22</v>
      </c>
      <c r="K163" s="3" t="s">
        <v>42</v>
      </c>
      <c r="L163">
        <v>3293</v>
      </c>
      <c r="M163" s="3" t="s">
        <v>913</v>
      </c>
      <c r="N163">
        <v>39516</v>
      </c>
      <c r="O163">
        <v>7903.2</v>
      </c>
      <c r="P163">
        <v>4.5</v>
      </c>
      <c r="Q163" s="3" t="s">
        <v>913</v>
      </c>
      <c r="R163">
        <v>1</v>
      </c>
      <c r="S163">
        <v>6</v>
      </c>
      <c r="T163" s="3" t="s">
        <v>913</v>
      </c>
      <c r="U163">
        <v>9</v>
      </c>
      <c r="V163" s="3" t="s">
        <v>917</v>
      </c>
    </row>
    <row r="164" spans="1:22" x14ac:dyDescent="0.3">
      <c r="A164">
        <v>163</v>
      </c>
      <c r="B164" s="3" t="s">
        <v>290</v>
      </c>
      <c r="C164" s="3" t="s">
        <v>291</v>
      </c>
      <c r="D164" s="3" t="s">
        <v>1076</v>
      </c>
      <c r="E164" s="3" t="s">
        <v>32</v>
      </c>
      <c r="F164" s="1">
        <v>42840</v>
      </c>
      <c r="G164">
        <v>9</v>
      </c>
      <c r="H164" s="3" t="s">
        <v>920</v>
      </c>
      <c r="I164" s="3" t="s">
        <v>58</v>
      </c>
      <c r="J164" s="3" t="s">
        <v>29</v>
      </c>
      <c r="K164" s="3" t="s">
        <v>36</v>
      </c>
      <c r="L164">
        <v>3250</v>
      </c>
      <c r="M164" s="3" t="s">
        <v>913</v>
      </c>
      <c r="N164">
        <v>39000</v>
      </c>
      <c r="O164">
        <v>4333.333333333333</v>
      </c>
      <c r="P164">
        <v>2</v>
      </c>
      <c r="Q164" s="3" t="s">
        <v>909</v>
      </c>
      <c r="R164">
        <v>1</v>
      </c>
      <c r="S164">
        <v>0</v>
      </c>
      <c r="T164" s="3" t="s">
        <v>909</v>
      </c>
      <c r="U164">
        <v>8</v>
      </c>
      <c r="V164" s="3" t="s">
        <v>917</v>
      </c>
    </row>
    <row r="165" spans="1:22" x14ac:dyDescent="0.3">
      <c r="A165">
        <v>164</v>
      </c>
      <c r="B165" s="3" t="s">
        <v>69</v>
      </c>
      <c r="C165" s="3" t="s">
        <v>292</v>
      </c>
      <c r="D165" s="3" t="s">
        <v>1077</v>
      </c>
      <c r="E165" s="3" t="s">
        <v>32</v>
      </c>
      <c r="F165" s="1">
        <v>43385</v>
      </c>
      <c r="G165">
        <v>7</v>
      </c>
      <c r="H165" s="3" t="s">
        <v>907</v>
      </c>
      <c r="I165" s="3" t="s">
        <v>41</v>
      </c>
      <c r="J165" s="3" t="s">
        <v>18</v>
      </c>
      <c r="K165" s="3" t="s">
        <v>42</v>
      </c>
      <c r="L165">
        <v>2085</v>
      </c>
      <c r="M165" s="3" t="s">
        <v>908</v>
      </c>
      <c r="N165">
        <v>25020</v>
      </c>
      <c r="O165">
        <v>3574.2857142857142</v>
      </c>
      <c r="P165">
        <v>3</v>
      </c>
      <c r="Q165" s="3" t="s">
        <v>908</v>
      </c>
      <c r="R165">
        <v>1</v>
      </c>
      <c r="S165">
        <v>0</v>
      </c>
      <c r="T165" s="3" t="s">
        <v>909</v>
      </c>
      <c r="U165">
        <v>9</v>
      </c>
      <c r="V165" s="3" t="s">
        <v>917</v>
      </c>
    </row>
    <row r="166" spans="1:22" x14ac:dyDescent="0.3">
      <c r="A166">
        <v>165</v>
      </c>
      <c r="B166" s="3" t="s">
        <v>293</v>
      </c>
      <c r="C166" s="3" t="s">
        <v>30</v>
      </c>
      <c r="D166" s="3" t="s">
        <v>1078</v>
      </c>
      <c r="E166" s="3" t="s">
        <v>32</v>
      </c>
      <c r="F166" s="1">
        <v>43638</v>
      </c>
      <c r="G166">
        <v>7</v>
      </c>
      <c r="H166" s="3" t="s">
        <v>907</v>
      </c>
      <c r="I166" s="3" t="s">
        <v>28</v>
      </c>
      <c r="J166" s="3" t="s">
        <v>294</v>
      </c>
      <c r="K166" s="3" t="s">
        <v>42</v>
      </c>
      <c r="L166">
        <v>1578</v>
      </c>
      <c r="M166" s="3" t="s">
        <v>908</v>
      </c>
      <c r="N166">
        <v>18936</v>
      </c>
      <c r="O166">
        <v>2705.1428571428573</v>
      </c>
      <c r="P166">
        <v>3</v>
      </c>
      <c r="Q166" s="3" t="s">
        <v>908</v>
      </c>
      <c r="R166">
        <v>0</v>
      </c>
      <c r="S166">
        <v>0</v>
      </c>
      <c r="T166" s="3" t="s">
        <v>916</v>
      </c>
      <c r="U166">
        <v>15</v>
      </c>
      <c r="V166" s="3" t="s">
        <v>910</v>
      </c>
    </row>
    <row r="167" spans="1:22" x14ac:dyDescent="0.3">
      <c r="A167">
        <v>166</v>
      </c>
      <c r="B167" s="3" t="s">
        <v>295</v>
      </c>
      <c r="C167" s="3" t="s">
        <v>296</v>
      </c>
      <c r="D167" s="3" t="s">
        <v>1079</v>
      </c>
      <c r="E167" s="3" t="s">
        <v>307</v>
      </c>
      <c r="F167" s="1">
        <v>43725</v>
      </c>
      <c r="G167">
        <v>6</v>
      </c>
      <c r="H167" s="3" t="s">
        <v>912</v>
      </c>
      <c r="I167" s="3" t="s">
        <v>41</v>
      </c>
      <c r="J167" s="3" t="s">
        <v>29</v>
      </c>
      <c r="K167" s="3" t="s">
        <v>42</v>
      </c>
      <c r="L167">
        <v>1169</v>
      </c>
      <c r="M167" s="3" t="s">
        <v>909</v>
      </c>
      <c r="N167">
        <v>14028</v>
      </c>
      <c r="O167">
        <v>2338</v>
      </c>
      <c r="P167">
        <v>3</v>
      </c>
      <c r="Q167" s="3" t="s">
        <v>908</v>
      </c>
      <c r="R167">
        <v>1</v>
      </c>
      <c r="S167">
        <v>0</v>
      </c>
      <c r="T167" s="3" t="s">
        <v>909</v>
      </c>
      <c r="U167">
        <v>10</v>
      </c>
      <c r="V167" s="3" t="s">
        <v>917</v>
      </c>
    </row>
    <row r="168" spans="1:22" x14ac:dyDescent="0.3">
      <c r="A168">
        <v>167</v>
      </c>
      <c r="B168" s="3" t="s">
        <v>297</v>
      </c>
      <c r="C168" s="3" t="s">
        <v>298</v>
      </c>
      <c r="D168" s="3" t="s">
        <v>1080</v>
      </c>
      <c r="E168" s="3" t="s">
        <v>307</v>
      </c>
      <c r="F168" s="1">
        <v>42927</v>
      </c>
      <c r="G168">
        <v>9</v>
      </c>
      <c r="H168" s="3" t="s">
        <v>920</v>
      </c>
      <c r="I168" s="3" t="s">
        <v>41</v>
      </c>
      <c r="J168" s="3" t="s">
        <v>22</v>
      </c>
      <c r="K168" s="3" t="s">
        <v>60</v>
      </c>
      <c r="L168">
        <v>1054</v>
      </c>
      <c r="M168" s="3" t="s">
        <v>909</v>
      </c>
      <c r="N168">
        <v>12648</v>
      </c>
      <c r="O168">
        <v>1405.3333333333333</v>
      </c>
      <c r="P168">
        <v>5</v>
      </c>
      <c r="Q168" s="3" t="s">
        <v>913</v>
      </c>
      <c r="R168">
        <v>4</v>
      </c>
      <c r="S168">
        <v>6</v>
      </c>
      <c r="T168" s="3" t="s">
        <v>913</v>
      </c>
      <c r="U168">
        <v>7</v>
      </c>
      <c r="V168" s="3" t="s">
        <v>917</v>
      </c>
    </row>
    <row r="169" spans="1:22" x14ac:dyDescent="0.3">
      <c r="A169">
        <v>168</v>
      </c>
      <c r="B169" s="3" t="s">
        <v>299</v>
      </c>
      <c r="C169" s="3" t="s">
        <v>80</v>
      </c>
      <c r="D169" s="3" t="s">
        <v>1081</v>
      </c>
      <c r="E169" s="3" t="s">
        <v>307</v>
      </c>
      <c r="F169" s="1">
        <v>43680</v>
      </c>
      <c r="G169">
        <v>7</v>
      </c>
      <c r="H169" s="3" t="s">
        <v>907</v>
      </c>
      <c r="I169" s="3" t="s">
        <v>41</v>
      </c>
      <c r="J169" s="3" t="s">
        <v>18</v>
      </c>
      <c r="K169" s="3" t="s">
        <v>42</v>
      </c>
      <c r="L169">
        <v>1349</v>
      </c>
      <c r="M169" s="3" t="s">
        <v>909</v>
      </c>
      <c r="N169">
        <v>16188</v>
      </c>
      <c r="O169">
        <v>2312.5714285714284</v>
      </c>
      <c r="P169">
        <v>4.5</v>
      </c>
      <c r="Q169" s="3" t="s">
        <v>913</v>
      </c>
      <c r="R169">
        <v>1</v>
      </c>
      <c r="S169">
        <v>0</v>
      </c>
      <c r="T169" s="3" t="s">
        <v>909</v>
      </c>
      <c r="U169">
        <v>4</v>
      </c>
      <c r="V169" s="3" t="s">
        <v>917</v>
      </c>
    </row>
    <row r="170" spans="1:22" x14ac:dyDescent="0.3">
      <c r="A170">
        <v>169</v>
      </c>
      <c r="B170" s="3" t="s">
        <v>300</v>
      </c>
      <c r="C170" s="3" t="s">
        <v>301</v>
      </c>
      <c r="D170" s="3" t="s">
        <v>1082</v>
      </c>
      <c r="E170" s="3" t="s">
        <v>307</v>
      </c>
      <c r="F170" s="1">
        <v>43571</v>
      </c>
      <c r="G170">
        <v>7</v>
      </c>
      <c r="H170" s="3" t="s">
        <v>907</v>
      </c>
      <c r="I170" s="3" t="s">
        <v>17</v>
      </c>
      <c r="J170" s="3" t="s">
        <v>29</v>
      </c>
      <c r="K170" s="3" t="s">
        <v>60</v>
      </c>
      <c r="L170">
        <v>2196</v>
      </c>
      <c r="M170" s="3" t="s">
        <v>908</v>
      </c>
      <c r="N170">
        <v>26352</v>
      </c>
      <c r="O170">
        <v>3764.5714285714284</v>
      </c>
      <c r="P170">
        <v>5</v>
      </c>
      <c r="Q170" s="3" t="s">
        <v>913</v>
      </c>
      <c r="R170">
        <v>4</v>
      </c>
      <c r="S170">
        <v>0</v>
      </c>
      <c r="T170" s="3" t="s">
        <v>908</v>
      </c>
      <c r="U170">
        <v>9</v>
      </c>
      <c r="V170" s="3" t="s">
        <v>917</v>
      </c>
    </row>
    <row r="171" spans="1:22" x14ac:dyDescent="0.3">
      <c r="A171">
        <v>170</v>
      </c>
      <c r="B171" s="3" t="s">
        <v>59</v>
      </c>
      <c r="C171" s="3" t="s">
        <v>142</v>
      </c>
      <c r="D171" s="3" t="s">
        <v>1083</v>
      </c>
      <c r="E171" s="3" t="s">
        <v>307</v>
      </c>
      <c r="F171" s="1">
        <v>43846</v>
      </c>
      <c r="G171">
        <v>6</v>
      </c>
      <c r="H171" s="3" t="s">
        <v>912</v>
      </c>
      <c r="I171" s="3" t="s">
        <v>77</v>
      </c>
      <c r="J171" s="3" t="s">
        <v>18</v>
      </c>
      <c r="K171" s="3" t="s">
        <v>42</v>
      </c>
      <c r="L171">
        <v>3264</v>
      </c>
      <c r="M171" s="3" t="s">
        <v>913</v>
      </c>
      <c r="N171">
        <v>39168</v>
      </c>
      <c r="O171">
        <v>6528</v>
      </c>
      <c r="P171">
        <v>5</v>
      </c>
      <c r="Q171" s="3" t="s">
        <v>913</v>
      </c>
      <c r="R171">
        <v>6</v>
      </c>
      <c r="S171">
        <v>5</v>
      </c>
      <c r="T171" s="3" t="s">
        <v>913</v>
      </c>
      <c r="U171">
        <v>4</v>
      </c>
      <c r="V171" s="3" t="s">
        <v>917</v>
      </c>
    </row>
    <row r="172" spans="1:22" x14ac:dyDescent="0.3">
      <c r="A172">
        <v>171</v>
      </c>
      <c r="B172" s="3" t="s">
        <v>33</v>
      </c>
      <c r="C172" s="3" t="s">
        <v>302</v>
      </c>
      <c r="D172" s="3" t="s">
        <v>1084</v>
      </c>
      <c r="E172" s="3" t="s">
        <v>32</v>
      </c>
      <c r="F172" s="1">
        <v>42942</v>
      </c>
      <c r="G172">
        <v>9</v>
      </c>
      <c r="H172" s="3" t="s">
        <v>920</v>
      </c>
      <c r="I172" s="3" t="s">
        <v>17</v>
      </c>
      <c r="J172" s="3" t="s">
        <v>29</v>
      </c>
      <c r="K172" s="3" t="s">
        <v>36</v>
      </c>
      <c r="L172">
        <v>1232</v>
      </c>
      <c r="M172" s="3" t="s">
        <v>909</v>
      </c>
      <c r="N172">
        <v>14784</v>
      </c>
      <c r="O172">
        <v>1642.6666666666667</v>
      </c>
      <c r="P172">
        <v>5</v>
      </c>
      <c r="Q172" s="3" t="s">
        <v>913</v>
      </c>
      <c r="R172">
        <v>4</v>
      </c>
      <c r="S172">
        <v>5</v>
      </c>
      <c r="T172" s="3" t="s">
        <v>913</v>
      </c>
      <c r="U172">
        <v>2</v>
      </c>
      <c r="V172" s="3" t="s">
        <v>917</v>
      </c>
    </row>
    <row r="173" spans="1:22" x14ac:dyDescent="0.3">
      <c r="A173">
        <v>172</v>
      </c>
      <c r="B173" s="3" t="s">
        <v>303</v>
      </c>
      <c r="C173" s="3" t="s">
        <v>304</v>
      </c>
      <c r="D173" s="3" t="s">
        <v>1085</v>
      </c>
      <c r="E173" s="3" t="s">
        <v>307</v>
      </c>
      <c r="F173" s="1">
        <v>43787</v>
      </c>
      <c r="G173">
        <v>6</v>
      </c>
      <c r="H173" s="3" t="s">
        <v>912</v>
      </c>
      <c r="I173" s="3" t="s">
        <v>50</v>
      </c>
      <c r="J173" s="3" t="s">
        <v>18</v>
      </c>
      <c r="K173" s="3" t="s">
        <v>42</v>
      </c>
      <c r="L173">
        <v>2401</v>
      </c>
      <c r="M173" s="3" t="s">
        <v>908</v>
      </c>
      <c r="N173">
        <v>28812</v>
      </c>
      <c r="O173">
        <v>4802</v>
      </c>
      <c r="P173">
        <v>5</v>
      </c>
      <c r="Q173" s="3" t="s">
        <v>913</v>
      </c>
      <c r="R173">
        <v>0</v>
      </c>
      <c r="S173">
        <v>0</v>
      </c>
      <c r="T173" s="3" t="s">
        <v>916</v>
      </c>
      <c r="U173">
        <v>9</v>
      </c>
      <c r="V173" s="3" t="s">
        <v>917</v>
      </c>
    </row>
    <row r="174" spans="1:22" x14ac:dyDescent="0.3">
      <c r="A174">
        <v>173</v>
      </c>
      <c r="B174" s="3" t="s">
        <v>305</v>
      </c>
      <c r="C174" s="3" t="s">
        <v>306</v>
      </c>
      <c r="D174" s="3" t="s">
        <v>1086</v>
      </c>
      <c r="E174" s="3" t="s">
        <v>307</v>
      </c>
      <c r="F174" s="1">
        <v>42994</v>
      </c>
      <c r="G174">
        <v>8</v>
      </c>
      <c r="H174" s="3" t="s">
        <v>907</v>
      </c>
      <c r="I174" s="3" t="s">
        <v>28</v>
      </c>
      <c r="J174" s="3" t="s">
        <v>22</v>
      </c>
      <c r="K174" s="3" t="s">
        <v>42</v>
      </c>
      <c r="L174">
        <v>3168</v>
      </c>
      <c r="M174" s="3" t="s">
        <v>913</v>
      </c>
      <c r="N174">
        <v>38016</v>
      </c>
      <c r="O174">
        <v>4752</v>
      </c>
      <c r="P174">
        <v>5</v>
      </c>
      <c r="Q174" s="3" t="s">
        <v>913</v>
      </c>
      <c r="R174">
        <v>0</v>
      </c>
      <c r="S174">
        <v>0</v>
      </c>
      <c r="T174" s="3" t="s">
        <v>916</v>
      </c>
      <c r="U174">
        <v>18</v>
      </c>
      <c r="V174" s="3" t="s">
        <v>910</v>
      </c>
    </row>
    <row r="175" spans="1:22" x14ac:dyDescent="0.3">
      <c r="A175">
        <v>174</v>
      </c>
      <c r="B175" s="3" t="s">
        <v>82</v>
      </c>
      <c r="C175" s="3" t="s">
        <v>308</v>
      </c>
      <c r="D175" s="3" t="s">
        <v>1087</v>
      </c>
      <c r="E175" s="3" t="s">
        <v>307</v>
      </c>
      <c r="F175" s="1">
        <v>43148</v>
      </c>
      <c r="G175">
        <v>8</v>
      </c>
      <c r="H175" s="3" t="s">
        <v>907</v>
      </c>
      <c r="I175" s="3" t="s">
        <v>77</v>
      </c>
      <c r="J175" s="3" t="s">
        <v>18</v>
      </c>
      <c r="K175" s="3" t="s">
        <v>42</v>
      </c>
      <c r="L175">
        <v>1620</v>
      </c>
      <c r="M175" s="3" t="s">
        <v>908</v>
      </c>
      <c r="N175">
        <v>19440</v>
      </c>
      <c r="O175">
        <v>2430</v>
      </c>
      <c r="P175">
        <v>5</v>
      </c>
      <c r="Q175" s="3" t="s">
        <v>913</v>
      </c>
      <c r="R175">
        <v>5</v>
      </c>
      <c r="S175">
        <v>0</v>
      </c>
      <c r="T175" s="3" t="s">
        <v>908</v>
      </c>
      <c r="U175">
        <v>10</v>
      </c>
      <c r="V175" s="3" t="s">
        <v>917</v>
      </c>
    </row>
    <row r="176" spans="1:22" x14ac:dyDescent="0.3">
      <c r="A176">
        <v>175</v>
      </c>
      <c r="B176" s="3" t="s">
        <v>151</v>
      </c>
      <c r="C176" s="3" t="s">
        <v>309</v>
      </c>
      <c r="D176" s="3" t="s">
        <v>1088</v>
      </c>
      <c r="E176" s="3" t="s">
        <v>32</v>
      </c>
      <c r="F176" s="1">
        <v>42892</v>
      </c>
      <c r="G176">
        <v>9</v>
      </c>
      <c r="H176" s="3" t="s">
        <v>920</v>
      </c>
      <c r="I176" s="3" t="s">
        <v>17</v>
      </c>
      <c r="J176" s="3" t="s">
        <v>29</v>
      </c>
      <c r="K176" s="3" t="s">
        <v>42</v>
      </c>
      <c r="L176">
        <v>1482</v>
      </c>
      <c r="M176" s="3" t="s">
        <v>909</v>
      </c>
      <c r="N176">
        <v>17784</v>
      </c>
      <c r="O176">
        <v>1976</v>
      </c>
      <c r="P176">
        <v>5</v>
      </c>
      <c r="Q176" s="3" t="s">
        <v>913</v>
      </c>
      <c r="R176">
        <v>0</v>
      </c>
      <c r="S176">
        <v>0</v>
      </c>
      <c r="T176" s="3" t="s">
        <v>916</v>
      </c>
      <c r="U176">
        <v>3</v>
      </c>
      <c r="V176" s="3" t="s">
        <v>917</v>
      </c>
    </row>
    <row r="177" spans="1:22" x14ac:dyDescent="0.3">
      <c r="A177">
        <v>176</v>
      </c>
      <c r="B177" s="3" t="s">
        <v>310</v>
      </c>
      <c r="C177" s="3" t="s">
        <v>311</v>
      </c>
      <c r="D177" s="3" t="s">
        <v>1089</v>
      </c>
      <c r="E177" s="3" t="s">
        <v>307</v>
      </c>
      <c r="F177" s="1">
        <v>43939</v>
      </c>
      <c r="G177">
        <v>6</v>
      </c>
      <c r="H177" s="3" t="s">
        <v>912</v>
      </c>
      <c r="I177" s="3" t="s">
        <v>41</v>
      </c>
      <c r="J177" s="3" t="s">
        <v>18</v>
      </c>
      <c r="K177" s="3" t="s">
        <v>42</v>
      </c>
      <c r="L177">
        <v>1967</v>
      </c>
      <c r="M177" s="3" t="s">
        <v>908</v>
      </c>
      <c r="N177">
        <v>23604</v>
      </c>
      <c r="O177">
        <v>3934</v>
      </c>
      <c r="P177">
        <v>4.5</v>
      </c>
      <c r="Q177" s="3" t="s">
        <v>913</v>
      </c>
      <c r="R177">
        <v>6</v>
      </c>
      <c r="S177">
        <v>0</v>
      </c>
      <c r="T177" s="3" t="s">
        <v>908</v>
      </c>
      <c r="U177">
        <v>6</v>
      </c>
      <c r="V177" s="3" t="s">
        <v>917</v>
      </c>
    </row>
    <row r="178" spans="1:22" x14ac:dyDescent="0.3">
      <c r="A178">
        <v>177</v>
      </c>
      <c r="B178" s="3" t="s">
        <v>312</v>
      </c>
      <c r="C178" s="3" t="s">
        <v>313</v>
      </c>
      <c r="D178" s="3" t="s">
        <v>1090</v>
      </c>
      <c r="E178" s="3" t="s">
        <v>307</v>
      </c>
      <c r="F178" s="1">
        <v>43175</v>
      </c>
      <c r="G178">
        <v>8</v>
      </c>
      <c r="H178" s="3" t="s">
        <v>907</v>
      </c>
      <c r="I178" s="3" t="s">
        <v>28</v>
      </c>
      <c r="J178" s="3" t="s">
        <v>18</v>
      </c>
      <c r="K178" s="3" t="s">
        <v>42</v>
      </c>
      <c r="L178">
        <v>1696</v>
      </c>
      <c r="M178" s="3" t="s">
        <v>908</v>
      </c>
      <c r="N178">
        <v>20352</v>
      </c>
      <c r="O178">
        <v>2544</v>
      </c>
      <c r="P178">
        <v>5</v>
      </c>
      <c r="Q178" s="3" t="s">
        <v>913</v>
      </c>
      <c r="R178">
        <v>0</v>
      </c>
      <c r="S178">
        <v>0</v>
      </c>
      <c r="T178" s="3" t="s">
        <v>916</v>
      </c>
      <c r="U178">
        <v>5</v>
      </c>
      <c r="V178" s="3" t="s">
        <v>917</v>
      </c>
    </row>
    <row r="179" spans="1:22" x14ac:dyDescent="0.3">
      <c r="A179">
        <v>178</v>
      </c>
      <c r="B179" s="3" t="s">
        <v>121</v>
      </c>
      <c r="C179" s="3" t="s">
        <v>314</v>
      </c>
      <c r="D179" s="3" t="s">
        <v>1091</v>
      </c>
      <c r="E179" s="3" t="s">
        <v>307</v>
      </c>
      <c r="F179" s="1">
        <v>43458</v>
      </c>
      <c r="G179">
        <v>7</v>
      </c>
      <c r="H179" s="3" t="s">
        <v>907</v>
      </c>
      <c r="I179" s="3" t="s">
        <v>53</v>
      </c>
      <c r="J179" s="3" t="s">
        <v>18</v>
      </c>
      <c r="K179" s="3" t="s">
        <v>60</v>
      </c>
      <c r="L179">
        <v>2913</v>
      </c>
      <c r="M179" s="3" t="s">
        <v>913</v>
      </c>
      <c r="N179">
        <v>34956</v>
      </c>
      <c r="O179">
        <v>4993.7142857142853</v>
      </c>
      <c r="P179">
        <v>4.5</v>
      </c>
      <c r="Q179" s="3" t="s">
        <v>913</v>
      </c>
      <c r="R179">
        <v>0</v>
      </c>
      <c r="S179">
        <v>0</v>
      </c>
      <c r="T179" s="3" t="s">
        <v>916</v>
      </c>
      <c r="U179">
        <v>3</v>
      </c>
      <c r="V179" s="3" t="s">
        <v>917</v>
      </c>
    </row>
    <row r="180" spans="1:22" x14ac:dyDescent="0.3">
      <c r="A180">
        <v>179</v>
      </c>
      <c r="B180" s="3" t="s">
        <v>315</v>
      </c>
      <c r="C180" s="3" t="s">
        <v>316</v>
      </c>
      <c r="D180" s="3" t="s">
        <v>1092</v>
      </c>
      <c r="E180" s="3" t="s">
        <v>307</v>
      </c>
      <c r="F180" s="1">
        <v>43897</v>
      </c>
      <c r="G180">
        <v>6</v>
      </c>
      <c r="H180" s="3" t="s">
        <v>912</v>
      </c>
      <c r="I180" s="3" t="s">
        <v>77</v>
      </c>
      <c r="J180" s="3" t="s">
        <v>294</v>
      </c>
      <c r="K180" s="3" t="s">
        <v>60</v>
      </c>
      <c r="L180">
        <v>2068</v>
      </c>
      <c r="M180" s="3" t="s">
        <v>908</v>
      </c>
      <c r="N180">
        <v>24816</v>
      </c>
      <c r="O180">
        <v>4136</v>
      </c>
      <c r="P180">
        <v>1</v>
      </c>
      <c r="Q180" s="3" t="s">
        <v>909</v>
      </c>
      <c r="R180">
        <v>0</v>
      </c>
      <c r="S180">
        <v>1</v>
      </c>
      <c r="T180" s="3" t="s">
        <v>909</v>
      </c>
      <c r="U180">
        <v>0</v>
      </c>
      <c r="V180" s="3" t="s">
        <v>955</v>
      </c>
    </row>
    <row r="181" spans="1:22" x14ac:dyDescent="0.3">
      <c r="A181">
        <v>180</v>
      </c>
      <c r="B181" s="3" t="s">
        <v>317</v>
      </c>
      <c r="C181" s="3" t="s">
        <v>318</v>
      </c>
      <c r="D181" s="3" t="s">
        <v>1093</v>
      </c>
      <c r="E181" s="3" t="s">
        <v>32</v>
      </c>
      <c r="F181" s="1">
        <v>43398</v>
      </c>
      <c r="G181">
        <v>7</v>
      </c>
      <c r="H181" s="3" t="s">
        <v>907</v>
      </c>
      <c r="I181" s="3" t="s">
        <v>163</v>
      </c>
      <c r="J181" s="3" t="s">
        <v>29</v>
      </c>
      <c r="K181" s="3" t="s">
        <v>36</v>
      </c>
      <c r="L181">
        <v>1430</v>
      </c>
      <c r="M181" s="3" t="s">
        <v>909</v>
      </c>
      <c r="N181">
        <v>17160</v>
      </c>
      <c r="O181">
        <v>2451.4285714285716</v>
      </c>
      <c r="P181">
        <v>3</v>
      </c>
      <c r="Q181" s="3" t="s">
        <v>908</v>
      </c>
      <c r="R181">
        <v>6</v>
      </c>
      <c r="S181">
        <v>0</v>
      </c>
      <c r="T181" s="3" t="s">
        <v>908</v>
      </c>
      <c r="U181">
        <v>0</v>
      </c>
      <c r="V181" s="3" t="s">
        <v>955</v>
      </c>
    </row>
    <row r="182" spans="1:22" x14ac:dyDescent="0.3">
      <c r="A182">
        <v>181</v>
      </c>
      <c r="B182" s="3" t="s">
        <v>33</v>
      </c>
      <c r="C182" s="3" t="s">
        <v>319</v>
      </c>
      <c r="D182" s="3" t="s">
        <v>1094</v>
      </c>
      <c r="E182" s="3" t="s">
        <v>32</v>
      </c>
      <c r="F182" s="1">
        <v>43250</v>
      </c>
      <c r="G182">
        <v>8</v>
      </c>
      <c r="H182" s="3" t="s">
        <v>907</v>
      </c>
      <c r="I182" s="3" t="s">
        <v>41</v>
      </c>
      <c r="J182" s="3" t="s">
        <v>22</v>
      </c>
      <c r="K182" s="3" t="s">
        <v>36</v>
      </c>
      <c r="L182">
        <v>3138</v>
      </c>
      <c r="M182" s="3" t="s">
        <v>913</v>
      </c>
      <c r="N182">
        <v>37656</v>
      </c>
      <c r="O182">
        <v>4707</v>
      </c>
      <c r="P182">
        <v>1</v>
      </c>
      <c r="Q182" s="3" t="s">
        <v>909</v>
      </c>
      <c r="R182">
        <v>0</v>
      </c>
      <c r="S182">
        <v>5</v>
      </c>
      <c r="T182" s="3" t="s">
        <v>908</v>
      </c>
      <c r="U182">
        <v>9</v>
      </c>
      <c r="V182" s="3" t="s">
        <v>917</v>
      </c>
    </row>
    <row r="183" spans="1:22" x14ac:dyDescent="0.3">
      <c r="A183">
        <v>182</v>
      </c>
      <c r="B183" s="3" t="s">
        <v>320</v>
      </c>
      <c r="C183" s="3" t="s">
        <v>321</v>
      </c>
      <c r="D183" s="3" t="s">
        <v>1095</v>
      </c>
      <c r="E183" s="3" t="s">
        <v>32</v>
      </c>
      <c r="F183" s="1">
        <v>44169</v>
      </c>
      <c r="G183">
        <v>5</v>
      </c>
      <c r="H183" s="3" t="s">
        <v>912</v>
      </c>
      <c r="I183" s="3" t="s">
        <v>28</v>
      </c>
      <c r="J183" s="3" t="s">
        <v>18</v>
      </c>
      <c r="K183" s="3" t="s">
        <v>42</v>
      </c>
      <c r="L183">
        <v>2051</v>
      </c>
      <c r="M183" s="3" t="s">
        <v>908</v>
      </c>
      <c r="N183">
        <v>24612</v>
      </c>
      <c r="O183">
        <v>4922.3999999999996</v>
      </c>
      <c r="P183">
        <v>3</v>
      </c>
      <c r="Q183" s="3" t="s">
        <v>908</v>
      </c>
      <c r="R183">
        <v>0</v>
      </c>
      <c r="S183">
        <v>0</v>
      </c>
      <c r="T183" s="3" t="s">
        <v>916</v>
      </c>
      <c r="U183">
        <v>2</v>
      </c>
      <c r="V183" s="3" t="s">
        <v>917</v>
      </c>
    </row>
    <row r="184" spans="1:22" x14ac:dyDescent="0.3">
      <c r="A184">
        <v>183</v>
      </c>
      <c r="B184" s="3" t="s">
        <v>322</v>
      </c>
      <c r="C184" s="3" t="s">
        <v>323</v>
      </c>
      <c r="D184" s="3" t="s">
        <v>1096</v>
      </c>
      <c r="E184" s="3" t="s">
        <v>307</v>
      </c>
      <c r="F184" s="1">
        <v>43351</v>
      </c>
      <c r="G184">
        <v>7</v>
      </c>
      <c r="H184" s="3" t="s">
        <v>907</v>
      </c>
      <c r="I184" s="3" t="s">
        <v>53</v>
      </c>
      <c r="J184" s="3" t="s">
        <v>18</v>
      </c>
      <c r="K184" s="3" t="s">
        <v>36</v>
      </c>
      <c r="L184">
        <v>2986</v>
      </c>
      <c r="M184" s="3" t="s">
        <v>913</v>
      </c>
      <c r="N184">
        <v>35832</v>
      </c>
      <c r="O184">
        <v>5118.8571428571431</v>
      </c>
      <c r="P184">
        <v>1</v>
      </c>
      <c r="Q184" s="3" t="s">
        <v>909</v>
      </c>
      <c r="R184">
        <v>3</v>
      </c>
      <c r="S184">
        <v>0</v>
      </c>
      <c r="T184" s="3" t="s">
        <v>909</v>
      </c>
      <c r="U184">
        <v>8</v>
      </c>
      <c r="V184" s="3" t="s">
        <v>917</v>
      </c>
    </row>
    <row r="185" spans="1:22" x14ac:dyDescent="0.3">
      <c r="A185">
        <v>184</v>
      </c>
      <c r="B185" s="3" t="s">
        <v>324</v>
      </c>
      <c r="C185" s="3" t="s">
        <v>325</v>
      </c>
      <c r="D185" s="3" t="s">
        <v>1097</v>
      </c>
      <c r="E185" s="3" t="s">
        <v>32</v>
      </c>
      <c r="F185" s="1">
        <v>43524</v>
      </c>
      <c r="G185">
        <v>7</v>
      </c>
      <c r="H185" s="3" t="s">
        <v>907</v>
      </c>
      <c r="I185" s="3" t="s">
        <v>28</v>
      </c>
      <c r="J185" s="3" t="s">
        <v>48</v>
      </c>
      <c r="K185" s="3" t="s">
        <v>42</v>
      </c>
      <c r="L185">
        <v>2790</v>
      </c>
      <c r="M185" s="3" t="s">
        <v>913</v>
      </c>
      <c r="N185">
        <v>33480</v>
      </c>
      <c r="O185">
        <v>4782.8571428571431</v>
      </c>
      <c r="P185">
        <v>5</v>
      </c>
      <c r="Q185" s="3" t="s">
        <v>913</v>
      </c>
      <c r="R185">
        <v>6</v>
      </c>
      <c r="S185">
        <v>0</v>
      </c>
      <c r="T185" s="3" t="s">
        <v>908</v>
      </c>
      <c r="U185">
        <v>3</v>
      </c>
      <c r="V185" s="3" t="s">
        <v>917</v>
      </c>
    </row>
    <row r="186" spans="1:22" x14ac:dyDescent="0.3">
      <c r="A186">
        <v>185</v>
      </c>
      <c r="B186" s="3" t="s">
        <v>197</v>
      </c>
      <c r="C186" s="3" t="s">
        <v>326</v>
      </c>
      <c r="D186" s="3" t="s">
        <v>1098</v>
      </c>
      <c r="E186" s="3" t="s">
        <v>32</v>
      </c>
      <c r="F186" s="1">
        <v>44182</v>
      </c>
      <c r="G186">
        <v>5</v>
      </c>
      <c r="H186" s="3" t="s">
        <v>912</v>
      </c>
      <c r="I186" s="3" t="s">
        <v>53</v>
      </c>
      <c r="J186" s="3" t="s">
        <v>18</v>
      </c>
      <c r="K186" s="3" t="s">
        <v>42</v>
      </c>
      <c r="L186">
        <v>1075</v>
      </c>
      <c r="M186" s="3" t="s">
        <v>909</v>
      </c>
      <c r="N186">
        <v>12900</v>
      </c>
      <c r="O186">
        <v>2580</v>
      </c>
      <c r="P186">
        <v>4.5</v>
      </c>
      <c r="Q186" s="3" t="s">
        <v>913</v>
      </c>
      <c r="R186">
        <v>6</v>
      </c>
      <c r="S186">
        <v>0</v>
      </c>
      <c r="T186" s="3" t="s">
        <v>908</v>
      </c>
      <c r="U186">
        <v>7</v>
      </c>
      <c r="V186" s="3" t="s">
        <v>917</v>
      </c>
    </row>
    <row r="187" spans="1:22" x14ac:dyDescent="0.3">
      <c r="A187">
        <v>186</v>
      </c>
      <c r="B187" s="3" t="s">
        <v>327</v>
      </c>
      <c r="C187" s="3" t="s">
        <v>328</v>
      </c>
      <c r="D187" s="3" t="s">
        <v>1099</v>
      </c>
      <c r="E187" s="3" t="s">
        <v>32</v>
      </c>
      <c r="F187" s="1">
        <v>43592</v>
      </c>
      <c r="G187">
        <v>7</v>
      </c>
      <c r="H187" s="3" t="s">
        <v>907</v>
      </c>
      <c r="I187" s="3" t="s">
        <v>39</v>
      </c>
      <c r="J187" s="3" t="s">
        <v>48</v>
      </c>
      <c r="K187" s="3" t="s">
        <v>42</v>
      </c>
      <c r="L187">
        <v>2009</v>
      </c>
      <c r="M187" s="3" t="s">
        <v>908</v>
      </c>
      <c r="N187">
        <v>24108</v>
      </c>
      <c r="O187">
        <v>3444</v>
      </c>
      <c r="P187">
        <v>1</v>
      </c>
      <c r="Q187" s="3" t="s">
        <v>909</v>
      </c>
      <c r="R187">
        <v>5</v>
      </c>
      <c r="S187">
        <v>0</v>
      </c>
      <c r="T187" s="3" t="s">
        <v>908</v>
      </c>
      <c r="U187">
        <v>0</v>
      </c>
      <c r="V187" s="3" t="s">
        <v>955</v>
      </c>
    </row>
    <row r="188" spans="1:22" x14ac:dyDescent="0.3">
      <c r="A188">
        <v>187</v>
      </c>
      <c r="B188" s="3" t="s">
        <v>33</v>
      </c>
      <c r="C188" s="3" t="s">
        <v>329</v>
      </c>
      <c r="D188" s="3" t="s">
        <v>1100</v>
      </c>
      <c r="E188" s="3" t="s">
        <v>32</v>
      </c>
      <c r="F188" s="1">
        <v>43315</v>
      </c>
      <c r="G188">
        <v>8</v>
      </c>
      <c r="H188" s="3" t="s">
        <v>907</v>
      </c>
      <c r="I188" s="3" t="s">
        <v>76</v>
      </c>
      <c r="J188" s="3" t="s">
        <v>18</v>
      </c>
      <c r="K188" s="3" t="s">
        <v>42</v>
      </c>
      <c r="L188">
        <v>3254</v>
      </c>
      <c r="M188" s="3" t="s">
        <v>913</v>
      </c>
      <c r="N188">
        <v>39048</v>
      </c>
      <c r="O188">
        <v>4881</v>
      </c>
      <c r="P188">
        <v>3</v>
      </c>
      <c r="Q188" s="3" t="s">
        <v>908</v>
      </c>
      <c r="R188">
        <v>4</v>
      </c>
      <c r="S188">
        <v>6</v>
      </c>
      <c r="T188" s="3" t="s">
        <v>913</v>
      </c>
      <c r="U188">
        <v>5</v>
      </c>
      <c r="V188" s="3" t="s">
        <v>917</v>
      </c>
    </row>
    <row r="189" spans="1:22" x14ac:dyDescent="0.3">
      <c r="A189">
        <v>188</v>
      </c>
      <c r="B189" s="3" t="s">
        <v>330</v>
      </c>
      <c r="C189" s="3" t="s">
        <v>142</v>
      </c>
      <c r="D189" s="3" t="s">
        <v>1101</v>
      </c>
      <c r="E189" s="3" t="s">
        <v>307</v>
      </c>
      <c r="F189" s="1">
        <v>43755</v>
      </c>
      <c r="G189">
        <v>6</v>
      </c>
      <c r="H189" s="3" t="s">
        <v>912</v>
      </c>
      <c r="I189" s="3" t="s">
        <v>118</v>
      </c>
      <c r="J189" s="3" t="s">
        <v>29</v>
      </c>
      <c r="K189" s="3" t="s">
        <v>42</v>
      </c>
      <c r="L189">
        <v>2367</v>
      </c>
      <c r="M189" s="3" t="s">
        <v>908</v>
      </c>
      <c r="N189">
        <v>28404</v>
      </c>
      <c r="O189">
        <v>4734</v>
      </c>
      <c r="P189">
        <v>3</v>
      </c>
      <c r="Q189" s="3" t="s">
        <v>908</v>
      </c>
      <c r="R189">
        <v>0</v>
      </c>
      <c r="S189">
        <v>0</v>
      </c>
      <c r="T189" s="3" t="s">
        <v>916</v>
      </c>
      <c r="U189">
        <v>1</v>
      </c>
      <c r="V189" s="3" t="s">
        <v>917</v>
      </c>
    </row>
    <row r="190" spans="1:22" x14ac:dyDescent="0.3">
      <c r="A190">
        <v>189</v>
      </c>
      <c r="B190" s="3" t="s">
        <v>33</v>
      </c>
      <c r="C190" s="3" t="s">
        <v>167</v>
      </c>
      <c r="D190" s="3" t="s">
        <v>1102</v>
      </c>
      <c r="E190" s="3" t="s">
        <v>32</v>
      </c>
      <c r="F190" s="1">
        <v>43133</v>
      </c>
      <c r="G190">
        <v>8</v>
      </c>
      <c r="H190" s="3" t="s">
        <v>907</v>
      </c>
      <c r="I190" s="3" t="s">
        <v>28</v>
      </c>
      <c r="J190" s="3" t="s">
        <v>29</v>
      </c>
      <c r="K190" s="3" t="s">
        <v>42</v>
      </c>
      <c r="L190">
        <v>3158</v>
      </c>
      <c r="M190" s="3" t="s">
        <v>913</v>
      </c>
      <c r="N190">
        <v>37896</v>
      </c>
      <c r="O190">
        <v>4737</v>
      </c>
      <c r="P190">
        <v>3</v>
      </c>
      <c r="Q190" s="3" t="s">
        <v>908</v>
      </c>
      <c r="R190">
        <v>2</v>
      </c>
      <c r="S190">
        <v>5</v>
      </c>
      <c r="T190" s="3" t="s">
        <v>913</v>
      </c>
      <c r="U190">
        <v>10</v>
      </c>
      <c r="V190" s="3" t="s">
        <v>917</v>
      </c>
    </row>
    <row r="191" spans="1:22" x14ac:dyDescent="0.3">
      <c r="A191">
        <v>190</v>
      </c>
      <c r="B191" s="3" t="s">
        <v>33</v>
      </c>
      <c r="C191" s="3" t="s">
        <v>331</v>
      </c>
      <c r="D191" s="3" t="s">
        <v>1103</v>
      </c>
      <c r="E191" s="3" t="s">
        <v>32</v>
      </c>
      <c r="F191" s="1">
        <v>43826</v>
      </c>
      <c r="G191">
        <v>6</v>
      </c>
      <c r="H191" s="3" t="s">
        <v>912</v>
      </c>
      <c r="I191" s="3" t="s">
        <v>28</v>
      </c>
      <c r="J191" s="3" t="s">
        <v>29</v>
      </c>
      <c r="K191" s="3" t="s">
        <v>42</v>
      </c>
      <c r="L191">
        <v>1980</v>
      </c>
      <c r="M191" s="3" t="s">
        <v>908</v>
      </c>
      <c r="N191">
        <v>23760</v>
      </c>
      <c r="O191">
        <v>3960</v>
      </c>
      <c r="P191">
        <v>2</v>
      </c>
      <c r="Q191" s="3" t="s">
        <v>909</v>
      </c>
      <c r="R191">
        <v>0</v>
      </c>
      <c r="S191">
        <v>0</v>
      </c>
      <c r="T191" s="3" t="s">
        <v>916</v>
      </c>
      <c r="U191">
        <v>2</v>
      </c>
      <c r="V191" s="3" t="s">
        <v>917</v>
      </c>
    </row>
    <row r="192" spans="1:22" x14ac:dyDescent="0.3">
      <c r="A192">
        <v>191</v>
      </c>
      <c r="B192" s="3" t="s">
        <v>20</v>
      </c>
      <c r="C192" s="3" t="s">
        <v>231</v>
      </c>
      <c r="D192" s="3" t="s">
        <v>1104</v>
      </c>
      <c r="E192" s="3" t="s">
        <v>32</v>
      </c>
      <c r="F192" s="1">
        <v>43562</v>
      </c>
      <c r="G192">
        <v>7</v>
      </c>
      <c r="H192" s="3" t="s">
        <v>907</v>
      </c>
      <c r="I192" s="3" t="s">
        <v>41</v>
      </c>
      <c r="J192" s="3" t="s">
        <v>18</v>
      </c>
      <c r="K192" s="3" t="s">
        <v>42</v>
      </c>
      <c r="L192">
        <v>2049</v>
      </c>
      <c r="M192" s="3" t="s">
        <v>908</v>
      </c>
      <c r="N192">
        <v>24588</v>
      </c>
      <c r="O192">
        <v>3512.5714285714284</v>
      </c>
      <c r="P192">
        <v>3</v>
      </c>
      <c r="Q192" s="3" t="s">
        <v>908</v>
      </c>
      <c r="R192">
        <v>6</v>
      </c>
      <c r="S192">
        <v>0</v>
      </c>
      <c r="T192" s="3" t="s">
        <v>908</v>
      </c>
      <c r="U192">
        <v>23</v>
      </c>
      <c r="V192" s="3" t="s">
        <v>910</v>
      </c>
    </row>
    <row r="193" spans="1:22" x14ac:dyDescent="0.3">
      <c r="A193">
        <v>192</v>
      </c>
      <c r="B193" s="3" t="s">
        <v>332</v>
      </c>
      <c r="C193" s="3" t="s">
        <v>333</v>
      </c>
      <c r="D193" s="3" t="s">
        <v>1105</v>
      </c>
      <c r="E193" s="3" t="s">
        <v>307</v>
      </c>
      <c r="F193" s="1">
        <v>43978</v>
      </c>
      <c r="G193">
        <v>6</v>
      </c>
      <c r="H193" s="3" t="s">
        <v>912</v>
      </c>
      <c r="I193" s="3" t="s">
        <v>77</v>
      </c>
      <c r="J193" s="3" t="s">
        <v>18</v>
      </c>
      <c r="K193" s="3" t="s">
        <v>36</v>
      </c>
      <c r="L193">
        <v>2727</v>
      </c>
      <c r="M193" s="3" t="s">
        <v>913</v>
      </c>
      <c r="N193">
        <v>32724</v>
      </c>
      <c r="O193">
        <v>5454</v>
      </c>
      <c r="P193">
        <v>2</v>
      </c>
      <c r="Q193" s="3" t="s">
        <v>909</v>
      </c>
      <c r="R193">
        <v>0</v>
      </c>
      <c r="S193">
        <v>0</v>
      </c>
      <c r="T193" s="3" t="s">
        <v>916</v>
      </c>
      <c r="U193">
        <v>8</v>
      </c>
      <c r="V193" s="3" t="s">
        <v>917</v>
      </c>
    </row>
    <row r="194" spans="1:22" x14ac:dyDescent="0.3">
      <c r="A194">
        <v>193</v>
      </c>
      <c r="B194" s="3" t="s">
        <v>334</v>
      </c>
      <c r="C194" s="3" t="s">
        <v>335</v>
      </c>
      <c r="D194" s="3" t="s">
        <v>1106</v>
      </c>
      <c r="E194" s="3" t="s">
        <v>307</v>
      </c>
      <c r="F194" s="1">
        <v>43806</v>
      </c>
      <c r="G194">
        <v>6</v>
      </c>
      <c r="H194" s="3" t="s">
        <v>912</v>
      </c>
      <c r="I194" s="3" t="s">
        <v>28</v>
      </c>
      <c r="J194" s="3" t="s">
        <v>29</v>
      </c>
      <c r="K194" s="3" t="s">
        <v>60</v>
      </c>
      <c r="L194">
        <v>974</v>
      </c>
      <c r="M194" s="3" t="s">
        <v>909</v>
      </c>
      <c r="N194">
        <v>11688</v>
      </c>
      <c r="O194">
        <v>1948</v>
      </c>
      <c r="P194">
        <v>5</v>
      </c>
      <c r="Q194" s="3" t="s">
        <v>913</v>
      </c>
      <c r="R194">
        <v>0</v>
      </c>
      <c r="S194">
        <v>0</v>
      </c>
      <c r="T194" s="3" t="s">
        <v>916</v>
      </c>
      <c r="U194">
        <v>9</v>
      </c>
      <c r="V194" s="3" t="s">
        <v>917</v>
      </c>
    </row>
    <row r="195" spans="1:22" x14ac:dyDescent="0.3">
      <c r="A195">
        <v>194</v>
      </c>
      <c r="B195" s="3" t="s">
        <v>336</v>
      </c>
      <c r="C195" s="3" t="s">
        <v>337</v>
      </c>
      <c r="D195" s="3" t="s">
        <v>1107</v>
      </c>
      <c r="E195" s="3" t="s">
        <v>32</v>
      </c>
      <c r="F195" s="1">
        <v>43775</v>
      </c>
      <c r="G195">
        <v>6</v>
      </c>
      <c r="H195" s="3" t="s">
        <v>912</v>
      </c>
      <c r="I195" s="3" t="s">
        <v>35</v>
      </c>
      <c r="J195" s="3" t="s">
        <v>29</v>
      </c>
      <c r="K195" s="3" t="s">
        <v>36</v>
      </c>
      <c r="L195">
        <v>992</v>
      </c>
      <c r="M195" s="3" t="s">
        <v>909</v>
      </c>
      <c r="N195">
        <v>11904</v>
      </c>
      <c r="O195">
        <v>1984</v>
      </c>
      <c r="P195">
        <v>5</v>
      </c>
      <c r="Q195" s="3" t="s">
        <v>913</v>
      </c>
      <c r="R195">
        <v>0</v>
      </c>
      <c r="S195">
        <v>0</v>
      </c>
      <c r="T195" s="3" t="s">
        <v>916</v>
      </c>
      <c r="U195">
        <v>3</v>
      </c>
      <c r="V195" s="3" t="s">
        <v>917</v>
      </c>
    </row>
    <row r="196" spans="1:22" x14ac:dyDescent="0.3">
      <c r="A196">
        <v>195</v>
      </c>
      <c r="B196" s="3" t="s">
        <v>338</v>
      </c>
      <c r="C196" s="3" t="s">
        <v>339</v>
      </c>
      <c r="D196" s="3" t="s">
        <v>1108</v>
      </c>
      <c r="E196" s="3" t="s">
        <v>307</v>
      </c>
      <c r="F196" s="1">
        <v>43329</v>
      </c>
      <c r="G196">
        <v>8</v>
      </c>
      <c r="H196" s="3" t="s">
        <v>907</v>
      </c>
      <c r="I196" s="3" t="s">
        <v>41</v>
      </c>
      <c r="J196" s="3" t="s">
        <v>18</v>
      </c>
      <c r="K196" s="3" t="s">
        <v>19</v>
      </c>
      <c r="L196">
        <v>2730</v>
      </c>
      <c r="M196" s="3" t="s">
        <v>913</v>
      </c>
      <c r="N196">
        <v>32760</v>
      </c>
      <c r="O196">
        <v>4095</v>
      </c>
      <c r="P196">
        <v>1</v>
      </c>
      <c r="Q196" s="3" t="s">
        <v>909</v>
      </c>
      <c r="R196">
        <v>4</v>
      </c>
      <c r="S196">
        <v>6</v>
      </c>
      <c r="T196" s="3" t="s">
        <v>913</v>
      </c>
      <c r="U196">
        <v>9</v>
      </c>
      <c r="V196" s="3" t="s">
        <v>917</v>
      </c>
    </row>
    <row r="197" spans="1:22" x14ac:dyDescent="0.3">
      <c r="A197">
        <v>196</v>
      </c>
      <c r="B197" s="3" t="s">
        <v>89</v>
      </c>
      <c r="C197" s="3" t="s">
        <v>340</v>
      </c>
      <c r="D197" s="3" t="s">
        <v>1109</v>
      </c>
      <c r="E197" s="3" t="s">
        <v>307</v>
      </c>
      <c r="F197" s="1">
        <v>42387</v>
      </c>
      <c r="G197">
        <v>10</v>
      </c>
      <c r="H197" s="3" t="s">
        <v>920</v>
      </c>
      <c r="I197" s="3" t="s">
        <v>53</v>
      </c>
      <c r="J197" s="3" t="s">
        <v>18</v>
      </c>
      <c r="K197" s="3" t="s">
        <v>19</v>
      </c>
      <c r="L197">
        <v>2804</v>
      </c>
      <c r="M197" s="3" t="s">
        <v>913</v>
      </c>
      <c r="N197">
        <v>33648</v>
      </c>
      <c r="O197">
        <v>3364.8</v>
      </c>
      <c r="P197">
        <v>4.5</v>
      </c>
      <c r="Q197" s="3" t="s">
        <v>913</v>
      </c>
      <c r="R197">
        <v>0</v>
      </c>
      <c r="S197">
        <v>0</v>
      </c>
      <c r="T197" s="3" t="s">
        <v>916</v>
      </c>
      <c r="U197">
        <v>4</v>
      </c>
      <c r="V197" s="3" t="s">
        <v>917</v>
      </c>
    </row>
    <row r="198" spans="1:22" x14ac:dyDescent="0.3">
      <c r="A198">
        <v>197</v>
      </c>
      <c r="B198" s="3" t="s">
        <v>30</v>
      </c>
      <c r="C198" s="3" t="s">
        <v>341</v>
      </c>
      <c r="D198" s="3" t="s">
        <v>1110</v>
      </c>
      <c r="E198" s="3" t="s">
        <v>32</v>
      </c>
      <c r="F198" s="1">
        <v>43558</v>
      </c>
      <c r="G198">
        <v>7</v>
      </c>
      <c r="H198" s="3" t="s">
        <v>907</v>
      </c>
      <c r="I198" s="3" t="s">
        <v>17</v>
      </c>
      <c r="J198" s="3" t="s">
        <v>18</v>
      </c>
      <c r="K198" s="3" t="s">
        <v>42</v>
      </c>
      <c r="L198">
        <v>1467</v>
      </c>
      <c r="M198" s="3" t="s">
        <v>909</v>
      </c>
      <c r="N198">
        <v>17604</v>
      </c>
      <c r="O198">
        <v>2514.8571428571427</v>
      </c>
      <c r="P198">
        <v>5</v>
      </c>
      <c r="Q198" s="3" t="s">
        <v>913</v>
      </c>
      <c r="R198">
        <v>6</v>
      </c>
      <c r="S198">
        <v>0</v>
      </c>
      <c r="T198" s="3" t="s">
        <v>908</v>
      </c>
      <c r="U198">
        <v>0</v>
      </c>
      <c r="V198" s="3" t="s">
        <v>955</v>
      </c>
    </row>
    <row r="199" spans="1:22" x14ac:dyDescent="0.3">
      <c r="A199">
        <v>198</v>
      </c>
      <c r="B199" s="3" t="s">
        <v>146</v>
      </c>
      <c r="C199" s="3" t="s">
        <v>221</v>
      </c>
      <c r="D199" s="3" t="s">
        <v>1029</v>
      </c>
      <c r="E199" s="3" t="s">
        <v>32</v>
      </c>
      <c r="F199" s="1">
        <v>44141</v>
      </c>
      <c r="G199">
        <v>5</v>
      </c>
      <c r="H199" s="3" t="s">
        <v>912</v>
      </c>
      <c r="I199" s="3" t="s">
        <v>25</v>
      </c>
      <c r="J199" s="3" t="s">
        <v>294</v>
      </c>
      <c r="K199" s="3" t="s">
        <v>19</v>
      </c>
      <c r="L199">
        <v>997</v>
      </c>
      <c r="M199" s="3" t="s">
        <v>909</v>
      </c>
      <c r="N199">
        <v>11964</v>
      </c>
      <c r="O199">
        <v>2392.8000000000002</v>
      </c>
      <c r="P199">
        <v>5</v>
      </c>
      <c r="Q199" s="3" t="s">
        <v>913</v>
      </c>
      <c r="R199">
        <v>1</v>
      </c>
      <c r="S199">
        <v>0</v>
      </c>
      <c r="T199" s="3" t="s">
        <v>909</v>
      </c>
      <c r="U199">
        <v>68</v>
      </c>
      <c r="V199" s="3" t="s">
        <v>910</v>
      </c>
    </row>
    <row r="200" spans="1:22" x14ac:dyDescent="0.3">
      <c r="A200">
        <v>199</v>
      </c>
      <c r="B200" s="3" t="s">
        <v>33</v>
      </c>
      <c r="C200" s="3" t="s">
        <v>342</v>
      </c>
      <c r="D200" s="3" t="s">
        <v>1111</v>
      </c>
      <c r="E200" s="3" t="s">
        <v>32</v>
      </c>
      <c r="F200" s="1">
        <v>43705</v>
      </c>
      <c r="G200">
        <v>7</v>
      </c>
      <c r="H200" s="3" t="s">
        <v>907</v>
      </c>
      <c r="I200" s="3" t="s">
        <v>41</v>
      </c>
      <c r="J200" s="3" t="s">
        <v>22</v>
      </c>
      <c r="K200" s="3" t="s">
        <v>19</v>
      </c>
      <c r="L200">
        <v>1859</v>
      </c>
      <c r="M200" s="3" t="s">
        <v>908</v>
      </c>
      <c r="N200">
        <v>22308</v>
      </c>
      <c r="O200">
        <v>3186.8571428571427</v>
      </c>
      <c r="P200">
        <v>5</v>
      </c>
      <c r="Q200" s="3" t="s">
        <v>913</v>
      </c>
      <c r="R200">
        <v>5</v>
      </c>
      <c r="S200">
        <v>0</v>
      </c>
      <c r="T200" s="3" t="s">
        <v>908</v>
      </c>
      <c r="U200">
        <v>1</v>
      </c>
      <c r="V200" s="3" t="s">
        <v>917</v>
      </c>
    </row>
    <row r="201" spans="1:22" x14ac:dyDescent="0.3">
      <c r="A201">
        <v>200</v>
      </c>
      <c r="B201" s="3" t="s">
        <v>186</v>
      </c>
      <c r="C201" s="3" t="s">
        <v>343</v>
      </c>
      <c r="D201" s="3" t="s">
        <v>1112</v>
      </c>
      <c r="E201" s="3" t="s">
        <v>32</v>
      </c>
      <c r="F201" s="1">
        <v>43711</v>
      </c>
      <c r="G201">
        <v>6</v>
      </c>
      <c r="H201" s="3" t="s">
        <v>912</v>
      </c>
      <c r="I201" s="3" t="s">
        <v>77</v>
      </c>
      <c r="J201" s="3" t="s">
        <v>18</v>
      </c>
      <c r="K201" s="3" t="s">
        <v>36</v>
      </c>
      <c r="L201">
        <v>1231</v>
      </c>
      <c r="M201" s="3" t="s">
        <v>909</v>
      </c>
      <c r="N201">
        <v>14772</v>
      </c>
      <c r="O201">
        <v>2462</v>
      </c>
      <c r="P201">
        <v>1</v>
      </c>
      <c r="Q201" s="3" t="s">
        <v>909</v>
      </c>
      <c r="R201">
        <v>1</v>
      </c>
      <c r="S201">
        <v>5</v>
      </c>
      <c r="T201" s="3" t="s">
        <v>908</v>
      </c>
      <c r="U201">
        <v>7</v>
      </c>
      <c r="V201" s="3" t="s">
        <v>917</v>
      </c>
    </row>
    <row r="202" spans="1:22" x14ac:dyDescent="0.3">
      <c r="A202">
        <v>201</v>
      </c>
      <c r="B202" s="3" t="s">
        <v>344</v>
      </c>
      <c r="C202" s="3" t="s">
        <v>345</v>
      </c>
      <c r="D202" s="3" t="s">
        <v>1113</v>
      </c>
      <c r="E202" s="3" t="s">
        <v>32</v>
      </c>
      <c r="F202" s="1">
        <v>43665</v>
      </c>
      <c r="G202">
        <v>7</v>
      </c>
      <c r="H202" s="3" t="s">
        <v>907</v>
      </c>
      <c r="I202" s="3" t="s">
        <v>28</v>
      </c>
      <c r="J202" s="3" t="s">
        <v>18</v>
      </c>
      <c r="K202" s="3" t="s">
        <v>42</v>
      </c>
      <c r="L202">
        <v>719</v>
      </c>
      <c r="M202" s="3" t="s">
        <v>909</v>
      </c>
      <c r="N202">
        <v>8628</v>
      </c>
      <c r="O202">
        <v>1232.5714285714287</v>
      </c>
      <c r="P202">
        <v>5</v>
      </c>
      <c r="Q202" s="3" t="s">
        <v>913</v>
      </c>
      <c r="R202">
        <v>0</v>
      </c>
      <c r="S202">
        <v>0</v>
      </c>
      <c r="T202" s="3" t="s">
        <v>916</v>
      </c>
      <c r="U202">
        <v>8</v>
      </c>
      <c r="V202" s="3" t="s">
        <v>917</v>
      </c>
    </row>
    <row r="203" spans="1:22" x14ac:dyDescent="0.3">
      <c r="A203">
        <v>202</v>
      </c>
      <c r="B203" s="3" t="s">
        <v>346</v>
      </c>
      <c r="C203" s="3" t="s">
        <v>347</v>
      </c>
      <c r="D203" s="3" t="s">
        <v>1114</v>
      </c>
      <c r="E203" s="3" t="s">
        <v>32</v>
      </c>
      <c r="F203" s="1">
        <v>43982</v>
      </c>
      <c r="G203">
        <v>6</v>
      </c>
      <c r="H203" s="3" t="s">
        <v>912</v>
      </c>
      <c r="I203" s="3" t="s">
        <v>93</v>
      </c>
      <c r="J203" s="3" t="s">
        <v>29</v>
      </c>
      <c r="K203" s="3" t="s">
        <v>42</v>
      </c>
      <c r="L203">
        <v>2186</v>
      </c>
      <c r="M203" s="3" t="s">
        <v>908</v>
      </c>
      <c r="N203">
        <v>26232</v>
      </c>
      <c r="O203">
        <v>4372</v>
      </c>
      <c r="P203">
        <v>1</v>
      </c>
      <c r="Q203" s="3" t="s">
        <v>909</v>
      </c>
      <c r="R203">
        <v>2</v>
      </c>
      <c r="S203">
        <v>0</v>
      </c>
      <c r="T203" s="3" t="s">
        <v>909</v>
      </c>
      <c r="U203">
        <v>10</v>
      </c>
      <c r="V203" s="3" t="s">
        <v>917</v>
      </c>
    </row>
    <row r="204" spans="1:22" x14ac:dyDescent="0.3">
      <c r="A204">
        <v>203</v>
      </c>
      <c r="B204" s="3" t="s">
        <v>348</v>
      </c>
      <c r="C204" s="3" t="s">
        <v>349</v>
      </c>
      <c r="D204" s="3" t="s">
        <v>1115</v>
      </c>
      <c r="E204" s="3" t="s">
        <v>32</v>
      </c>
      <c r="F204" s="1">
        <v>43603</v>
      </c>
      <c r="G204">
        <v>7</v>
      </c>
      <c r="H204" s="3" t="s">
        <v>907</v>
      </c>
      <c r="I204" s="3" t="s">
        <v>88</v>
      </c>
      <c r="J204" s="3" t="s">
        <v>18</v>
      </c>
      <c r="K204" s="3" t="s">
        <v>19</v>
      </c>
      <c r="L204">
        <v>1605</v>
      </c>
      <c r="M204" s="3" t="s">
        <v>908</v>
      </c>
      <c r="N204">
        <v>19260</v>
      </c>
      <c r="O204">
        <v>2751.4285714285716</v>
      </c>
      <c r="P204">
        <v>4.5</v>
      </c>
      <c r="Q204" s="3" t="s">
        <v>913</v>
      </c>
      <c r="R204">
        <v>5</v>
      </c>
      <c r="S204">
        <v>4</v>
      </c>
      <c r="T204" s="3" t="s">
        <v>913</v>
      </c>
      <c r="U204">
        <v>9</v>
      </c>
      <c r="V204" s="3" t="s">
        <v>917</v>
      </c>
    </row>
    <row r="205" spans="1:22" x14ac:dyDescent="0.3">
      <c r="A205">
        <v>204</v>
      </c>
      <c r="B205" s="3" t="s">
        <v>49</v>
      </c>
      <c r="C205" s="3" t="s">
        <v>350</v>
      </c>
      <c r="D205" s="3" t="s">
        <v>1116</v>
      </c>
      <c r="E205" s="3" t="s">
        <v>32</v>
      </c>
      <c r="F205" s="1">
        <v>43237</v>
      </c>
      <c r="G205">
        <v>8</v>
      </c>
      <c r="H205" s="3" t="s">
        <v>907</v>
      </c>
      <c r="I205" s="3" t="s">
        <v>53</v>
      </c>
      <c r="J205" s="3" t="s">
        <v>18</v>
      </c>
      <c r="K205" s="3" t="s">
        <v>42</v>
      </c>
      <c r="L205">
        <v>2365</v>
      </c>
      <c r="M205" s="3" t="s">
        <v>908</v>
      </c>
      <c r="N205">
        <v>28380</v>
      </c>
      <c r="O205">
        <v>3547.5</v>
      </c>
      <c r="P205">
        <v>1</v>
      </c>
      <c r="Q205" s="3" t="s">
        <v>909</v>
      </c>
      <c r="R205">
        <v>0</v>
      </c>
      <c r="S205">
        <v>0</v>
      </c>
      <c r="T205" s="3" t="s">
        <v>916</v>
      </c>
      <c r="U205">
        <v>73</v>
      </c>
      <c r="V205" s="3" t="s">
        <v>910</v>
      </c>
    </row>
    <row r="206" spans="1:22" x14ac:dyDescent="0.3">
      <c r="A206">
        <v>205</v>
      </c>
      <c r="B206" s="3" t="s">
        <v>351</v>
      </c>
      <c r="C206" s="3" t="s">
        <v>352</v>
      </c>
      <c r="D206" s="3" t="s">
        <v>1117</v>
      </c>
      <c r="E206" s="3" t="s">
        <v>32</v>
      </c>
      <c r="F206" s="1">
        <v>42842</v>
      </c>
      <c r="G206">
        <v>9</v>
      </c>
      <c r="H206" s="3" t="s">
        <v>920</v>
      </c>
      <c r="I206" s="3" t="s">
        <v>353</v>
      </c>
      <c r="J206" s="3" t="s">
        <v>48</v>
      </c>
      <c r="K206" s="3" t="s">
        <v>42</v>
      </c>
      <c r="L206">
        <v>1096</v>
      </c>
      <c r="M206" s="3" t="s">
        <v>909</v>
      </c>
      <c r="N206">
        <v>13152</v>
      </c>
      <c r="O206">
        <v>1461.3333333333333</v>
      </c>
      <c r="P206">
        <v>4.5</v>
      </c>
      <c r="Q206" s="3" t="s">
        <v>913</v>
      </c>
      <c r="R206">
        <v>4</v>
      </c>
      <c r="S206">
        <v>0</v>
      </c>
      <c r="T206" s="3" t="s">
        <v>908</v>
      </c>
      <c r="U206">
        <v>8</v>
      </c>
      <c r="V206" s="3" t="s">
        <v>917</v>
      </c>
    </row>
    <row r="207" spans="1:22" x14ac:dyDescent="0.3">
      <c r="A207">
        <v>206</v>
      </c>
      <c r="B207" s="3" t="s">
        <v>197</v>
      </c>
      <c r="C207" s="3" t="s">
        <v>354</v>
      </c>
      <c r="D207" s="3" t="s">
        <v>1118</v>
      </c>
      <c r="E207" s="3" t="s">
        <v>32</v>
      </c>
      <c r="F207" s="1">
        <v>43654</v>
      </c>
      <c r="G207">
        <v>7</v>
      </c>
      <c r="H207" s="3" t="s">
        <v>907</v>
      </c>
      <c r="I207" s="3" t="s">
        <v>53</v>
      </c>
      <c r="J207" s="3" t="s">
        <v>18</v>
      </c>
      <c r="K207" s="3" t="s">
        <v>36</v>
      </c>
      <c r="L207">
        <v>1037</v>
      </c>
      <c r="M207" s="3" t="s">
        <v>909</v>
      </c>
      <c r="N207">
        <v>12444</v>
      </c>
      <c r="O207">
        <v>1777.7142857142858</v>
      </c>
      <c r="P207">
        <v>3</v>
      </c>
      <c r="Q207" s="3" t="s">
        <v>908</v>
      </c>
      <c r="R207">
        <v>6</v>
      </c>
      <c r="S207">
        <v>0</v>
      </c>
      <c r="T207" s="3" t="s">
        <v>908</v>
      </c>
      <c r="U207">
        <v>5</v>
      </c>
      <c r="V207" s="3" t="s">
        <v>917</v>
      </c>
    </row>
    <row r="208" spans="1:22" x14ac:dyDescent="0.3">
      <c r="A208">
        <v>207</v>
      </c>
      <c r="B208" s="3" t="s">
        <v>33</v>
      </c>
      <c r="C208" s="3" t="s">
        <v>161</v>
      </c>
      <c r="D208" s="3" t="s">
        <v>1119</v>
      </c>
      <c r="E208" s="3" t="s">
        <v>32</v>
      </c>
      <c r="F208" s="1">
        <v>44168</v>
      </c>
      <c r="G208">
        <v>5</v>
      </c>
      <c r="H208" s="3" t="s">
        <v>912</v>
      </c>
      <c r="I208" s="3" t="s">
        <v>53</v>
      </c>
      <c r="J208" s="3" t="s">
        <v>48</v>
      </c>
      <c r="K208" s="3" t="s">
        <v>19</v>
      </c>
      <c r="L208">
        <v>1757</v>
      </c>
      <c r="M208" s="3" t="s">
        <v>908</v>
      </c>
      <c r="N208">
        <v>21084</v>
      </c>
      <c r="O208">
        <v>4216.8</v>
      </c>
      <c r="P208">
        <v>2</v>
      </c>
      <c r="Q208" s="3" t="s">
        <v>909</v>
      </c>
      <c r="R208">
        <v>6</v>
      </c>
      <c r="S208">
        <v>0</v>
      </c>
      <c r="T208" s="3" t="s">
        <v>908</v>
      </c>
      <c r="U208">
        <v>13</v>
      </c>
      <c r="V208" s="3" t="s">
        <v>910</v>
      </c>
    </row>
    <row r="209" spans="1:22" x14ac:dyDescent="0.3">
      <c r="A209">
        <v>208</v>
      </c>
      <c r="B209" s="3" t="s">
        <v>355</v>
      </c>
      <c r="C209" s="3" t="s">
        <v>356</v>
      </c>
      <c r="D209" s="3" t="s">
        <v>1120</v>
      </c>
      <c r="E209" s="3" t="s">
        <v>307</v>
      </c>
      <c r="F209" s="1">
        <v>44138</v>
      </c>
      <c r="G209">
        <v>5</v>
      </c>
      <c r="H209" s="3" t="s">
        <v>912</v>
      </c>
      <c r="I209" s="3" t="s">
        <v>77</v>
      </c>
      <c r="J209" s="3" t="s">
        <v>18</v>
      </c>
      <c r="K209" s="3" t="s">
        <v>42</v>
      </c>
      <c r="L209">
        <v>3405</v>
      </c>
      <c r="M209" s="3" t="s">
        <v>913</v>
      </c>
      <c r="N209">
        <v>40860</v>
      </c>
      <c r="O209">
        <v>8172</v>
      </c>
      <c r="P209">
        <v>5</v>
      </c>
      <c r="Q209" s="3" t="s">
        <v>913</v>
      </c>
      <c r="R209">
        <v>0</v>
      </c>
      <c r="S209">
        <v>0</v>
      </c>
      <c r="T209" s="3" t="s">
        <v>916</v>
      </c>
      <c r="U209">
        <v>1</v>
      </c>
      <c r="V209" s="3" t="s">
        <v>917</v>
      </c>
    </row>
    <row r="210" spans="1:22" x14ac:dyDescent="0.3">
      <c r="A210">
        <v>209</v>
      </c>
      <c r="B210" s="3" t="s">
        <v>357</v>
      </c>
      <c r="C210" s="3" t="s">
        <v>358</v>
      </c>
      <c r="D210" s="3" t="s">
        <v>1121</v>
      </c>
      <c r="E210" s="3" t="s">
        <v>32</v>
      </c>
      <c r="F210" s="1">
        <v>43262</v>
      </c>
      <c r="G210">
        <v>8</v>
      </c>
      <c r="H210" s="3" t="s">
        <v>907</v>
      </c>
      <c r="I210" s="3" t="s">
        <v>41</v>
      </c>
      <c r="J210" s="3" t="s">
        <v>29</v>
      </c>
      <c r="K210" s="3" t="s">
        <v>19</v>
      </c>
      <c r="L210">
        <v>2154</v>
      </c>
      <c r="M210" s="3" t="s">
        <v>908</v>
      </c>
      <c r="N210">
        <v>25848</v>
      </c>
      <c r="O210">
        <v>3231</v>
      </c>
      <c r="P210">
        <v>5</v>
      </c>
      <c r="Q210" s="3" t="s">
        <v>913</v>
      </c>
      <c r="R210">
        <v>0</v>
      </c>
      <c r="S210">
        <v>0</v>
      </c>
      <c r="T210" s="3" t="s">
        <v>916</v>
      </c>
      <c r="U210">
        <v>0</v>
      </c>
      <c r="V210" s="3" t="s">
        <v>955</v>
      </c>
    </row>
    <row r="211" spans="1:22" x14ac:dyDescent="0.3">
      <c r="A211">
        <v>210</v>
      </c>
      <c r="B211" s="3" t="s">
        <v>359</v>
      </c>
      <c r="C211" s="3" t="s">
        <v>360</v>
      </c>
      <c r="D211" s="3" t="s">
        <v>1122</v>
      </c>
      <c r="E211" s="3" t="s">
        <v>32</v>
      </c>
      <c r="F211" s="1">
        <v>43508</v>
      </c>
      <c r="G211">
        <v>7</v>
      </c>
      <c r="H211" s="3" t="s">
        <v>907</v>
      </c>
      <c r="I211" s="3" t="s">
        <v>58</v>
      </c>
      <c r="J211" s="3" t="s">
        <v>18</v>
      </c>
      <c r="K211" s="3" t="s">
        <v>42</v>
      </c>
      <c r="L211">
        <v>805</v>
      </c>
      <c r="M211" s="3" t="s">
        <v>909</v>
      </c>
      <c r="N211">
        <v>9660</v>
      </c>
      <c r="O211">
        <v>1380</v>
      </c>
      <c r="P211">
        <v>2</v>
      </c>
      <c r="Q211" s="3" t="s">
        <v>909</v>
      </c>
      <c r="R211">
        <v>0</v>
      </c>
      <c r="S211">
        <v>0</v>
      </c>
      <c r="T211" s="3" t="s">
        <v>916</v>
      </c>
      <c r="U211">
        <v>6</v>
      </c>
      <c r="V211" s="3" t="s">
        <v>917</v>
      </c>
    </row>
    <row r="212" spans="1:22" x14ac:dyDescent="0.3">
      <c r="A212">
        <v>211</v>
      </c>
      <c r="B212" s="3" t="s">
        <v>361</v>
      </c>
      <c r="C212" s="3" t="s">
        <v>362</v>
      </c>
      <c r="D212" s="3" t="s">
        <v>1123</v>
      </c>
      <c r="E212" s="3" t="s">
        <v>307</v>
      </c>
      <c r="F212" s="1">
        <v>43376</v>
      </c>
      <c r="G212">
        <v>7</v>
      </c>
      <c r="H212" s="3" t="s">
        <v>907</v>
      </c>
      <c r="I212" s="3" t="s">
        <v>200</v>
      </c>
      <c r="J212" s="3" t="s">
        <v>18</v>
      </c>
      <c r="K212" s="3" t="s">
        <v>42</v>
      </c>
      <c r="L212">
        <v>3093</v>
      </c>
      <c r="M212" s="3" t="s">
        <v>913</v>
      </c>
      <c r="N212">
        <v>37116</v>
      </c>
      <c r="O212">
        <v>5302.2857142857147</v>
      </c>
      <c r="P212">
        <v>4.5</v>
      </c>
      <c r="Q212" s="3" t="s">
        <v>913</v>
      </c>
      <c r="R212">
        <v>0</v>
      </c>
      <c r="S212">
        <v>0</v>
      </c>
      <c r="T212" s="3" t="s">
        <v>916</v>
      </c>
      <c r="U212">
        <v>10</v>
      </c>
      <c r="V212" s="3" t="s">
        <v>917</v>
      </c>
    </row>
    <row r="213" spans="1:22" x14ac:dyDescent="0.3">
      <c r="A213">
        <v>212</v>
      </c>
      <c r="B213" s="3" t="s">
        <v>30</v>
      </c>
      <c r="C213" s="3" t="s">
        <v>363</v>
      </c>
      <c r="D213" s="3" t="s">
        <v>1124</v>
      </c>
      <c r="E213" s="3" t="s">
        <v>32</v>
      </c>
      <c r="F213" s="1">
        <v>42957</v>
      </c>
      <c r="G213">
        <v>9</v>
      </c>
      <c r="H213" s="3" t="s">
        <v>920</v>
      </c>
      <c r="I213" s="3" t="s">
        <v>118</v>
      </c>
      <c r="J213" s="3" t="s">
        <v>22</v>
      </c>
      <c r="K213" s="3" t="s">
        <v>19</v>
      </c>
      <c r="L213">
        <v>1039</v>
      </c>
      <c r="M213" s="3" t="s">
        <v>909</v>
      </c>
      <c r="N213">
        <v>12468</v>
      </c>
      <c r="O213">
        <v>1385.3333333333333</v>
      </c>
      <c r="P213">
        <v>3</v>
      </c>
      <c r="Q213" s="3" t="s">
        <v>908</v>
      </c>
      <c r="R213">
        <v>2</v>
      </c>
      <c r="S213">
        <v>0</v>
      </c>
      <c r="T213" s="3" t="s">
        <v>909</v>
      </c>
      <c r="U213">
        <v>87</v>
      </c>
      <c r="V213" s="3" t="s">
        <v>910</v>
      </c>
    </row>
    <row r="214" spans="1:22" x14ac:dyDescent="0.3">
      <c r="A214">
        <v>213</v>
      </c>
      <c r="B214" s="3" t="s">
        <v>364</v>
      </c>
      <c r="C214" s="3" t="s">
        <v>365</v>
      </c>
      <c r="D214" s="3" t="s">
        <v>1125</v>
      </c>
      <c r="E214" s="3" t="s">
        <v>32</v>
      </c>
      <c r="F214" s="1">
        <v>43792</v>
      </c>
      <c r="G214">
        <v>6</v>
      </c>
      <c r="H214" s="3" t="s">
        <v>912</v>
      </c>
      <c r="I214" s="3" t="s">
        <v>41</v>
      </c>
      <c r="J214" s="3" t="s">
        <v>18</v>
      </c>
      <c r="K214" s="3" t="s">
        <v>19</v>
      </c>
      <c r="L214">
        <v>1012</v>
      </c>
      <c r="M214" s="3" t="s">
        <v>909</v>
      </c>
      <c r="N214">
        <v>12144</v>
      </c>
      <c r="O214">
        <v>2024</v>
      </c>
      <c r="P214">
        <v>3</v>
      </c>
      <c r="Q214" s="3" t="s">
        <v>908</v>
      </c>
      <c r="R214">
        <v>1</v>
      </c>
      <c r="S214">
        <v>0</v>
      </c>
      <c r="T214" s="3" t="s">
        <v>909</v>
      </c>
      <c r="U214">
        <v>7</v>
      </c>
      <c r="V214" s="3" t="s">
        <v>917</v>
      </c>
    </row>
    <row r="215" spans="1:22" x14ac:dyDescent="0.3">
      <c r="A215">
        <v>214</v>
      </c>
      <c r="B215" s="3" t="s">
        <v>223</v>
      </c>
      <c r="C215" s="3" t="s">
        <v>366</v>
      </c>
      <c r="D215" s="3" t="s">
        <v>1126</v>
      </c>
      <c r="E215" s="3" t="s">
        <v>32</v>
      </c>
      <c r="F215" s="1">
        <v>42899</v>
      </c>
      <c r="G215">
        <v>9</v>
      </c>
      <c r="H215" s="3" t="s">
        <v>920</v>
      </c>
      <c r="I215" s="3" t="s">
        <v>39</v>
      </c>
      <c r="J215" s="3" t="s">
        <v>18</v>
      </c>
      <c r="K215" s="3" t="s">
        <v>42</v>
      </c>
      <c r="L215">
        <v>2216</v>
      </c>
      <c r="M215" s="3" t="s">
        <v>908</v>
      </c>
      <c r="N215">
        <v>26592</v>
      </c>
      <c r="O215">
        <v>2954.6666666666665</v>
      </c>
      <c r="P215">
        <v>2</v>
      </c>
      <c r="Q215" s="3" t="s">
        <v>909</v>
      </c>
      <c r="R215">
        <v>0</v>
      </c>
      <c r="S215">
        <v>0</v>
      </c>
      <c r="T215" s="3" t="s">
        <v>916</v>
      </c>
      <c r="U215">
        <v>11</v>
      </c>
      <c r="V215" s="3" t="s">
        <v>910</v>
      </c>
    </row>
    <row r="216" spans="1:22" x14ac:dyDescent="0.3">
      <c r="A216">
        <v>215</v>
      </c>
      <c r="B216" s="3" t="s">
        <v>367</v>
      </c>
      <c r="C216" s="3" t="s">
        <v>350</v>
      </c>
      <c r="D216" s="3" t="s">
        <v>1127</v>
      </c>
      <c r="E216" s="3" t="s">
        <v>32</v>
      </c>
      <c r="F216" s="1">
        <v>44163</v>
      </c>
      <c r="G216">
        <v>5</v>
      </c>
      <c r="H216" s="3" t="s">
        <v>912</v>
      </c>
      <c r="I216" s="3" t="s">
        <v>77</v>
      </c>
      <c r="J216" s="3" t="s">
        <v>18</v>
      </c>
      <c r="K216" s="3" t="s">
        <v>60</v>
      </c>
      <c r="L216">
        <v>2020</v>
      </c>
      <c r="M216" s="3" t="s">
        <v>908</v>
      </c>
      <c r="N216">
        <v>24240</v>
      </c>
      <c r="O216">
        <v>4848</v>
      </c>
      <c r="P216">
        <v>4.5</v>
      </c>
      <c r="Q216" s="3" t="s">
        <v>913</v>
      </c>
      <c r="R216">
        <v>0</v>
      </c>
      <c r="S216">
        <v>5</v>
      </c>
      <c r="T216" s="3" t="s">
        <v>908</v>
      </c>
      <c r="U216">
        <v>0</v>
      </c>
      <c r="V216" s="3" t="s">
        <v>955</v>
      </c>
    </row>
    <row r="217" spans="1:22" x14ac:dyDescent="0.3">
      <c r="A217">
        <v>216</v>
      </c>
      <c r="B217" s="3" t="s">
        <v>20</v>
      </c>
      <c r="C217" s="3" t="s">
        <v>368</v>
      </c>
      <c r="D217" s="3" t="s">
        <v>1128</v>
      </c>
      <c r="E217" s="3" t="s">
        <v>32</v>
      </c>
      <c r="F217" s="1">
        <v>42680</v>
      </c>
      <c r="G217">
        <v>9</v>
      </c>
      <c r="H217" s="3" t="s">
        <v>920</v>
      </c>
      <c r="I217" s="3" t="s">
        <v>35</v>
      </c>
      <c r="J217" s="3" t="s">
        <v>29</v>
      </c>
      <c r="K217" s="3" t="s">
        <v>36</v>
      </c>
      <c r="L217">
        <v>3309</v>
      </c>
      <c r="M217" s="3" t="s">
        <v>913</v>
      </c>
      <c r="N217">
        <v>39708</v>
      </c>
      <c r="O217">
        <v>4412</v>
      </c>
      <c r="P217">
        <v>4.5</v>
      </c>
      <c r="Q217" s="3" t="s">
        <v>913</v>
      </c>
      <c r="R217">
        <v>1</v>
      </c>
      <c r="S217">
        <v>0</v>
      </c>
      <c r="T217" s="3" t="s">
        <v>909</v>
      </c>
      <c r="U217">
        <v>7</v>
      </c>
      <c r="V217" s="3" t="s">
        <v>917</v>
      </c>
    </row>
    <row r="218" spans="1:22" x14ac:dyDescent="0.3">
      <c r="A218">
        <v>217</v>
      </c>
      <c r="B218" s="3" t="s">
        <v>369</v>
      </c>
      <c r="C218" s="3" t="s">
        <v>370</v>
      </c>
      <c r="D218" s="3" t="s">
        <v>1129</v>
      </c>
      <c r="E218" s="3" t="s">
        <v>32</v>
      </c>
      <c r="F218" s="1">
        <v>43956</v>
      </c>
      <c r="G218">
        <v>6</v>
      </c>
      <c r="H218" s="3" t="s">
        <v>912</v>
      </c>
      <c r="I218" s="3" t="s">
        <v>41</v>
      </c>
      <c r="J218" s="3" t="s">
        <v>29</v>
      </c>
      <c r="K218" s="3" t="s">
        <v>36</v>
      </c>
      <c r="L218">
        <v>983</v>
      </c>
      <c r="M218" s="3" t="s">
        <v>909</v>
      </c>
      <c r="N218">
        <v>11796</v>
      </c>
      <c r="O218">
        <v>1966</v>
      </c>
      <c r="P218">
        <v>2</v>
      </c>
      <c r="Q218" s="3" t="s">
        <v>909</v>
      </c>
      <c r="R218">
        <v>6</v>
      </c>
      <c r="S218">
        <v>0</v>
      </c>
      <c r="T218" s="3" t="s">
        <v>908</v>
      </c>
      <c r="U218">
        <v>0</v>
      </c>
      <c r="V218" s="3" t="s">
        <v>955</v>
      </c>
    </row>
    <row r="219" spans="1:22" x14ac:dyDescent="0.3">
      <c r="A219">
        <v>218</v>
      </c>
      <c r="B219" s="3" t="s">
        <v>64</v>
      </c>
      <c r="C219" s="3" t="s">
        <v>371</v>
      </c>
      <c r="D219" s="3" t="s">
        <v>1130</v>
      </c>
      <c r="E219" s="3" t="s">
        <v>32</v>
      </c>
      <c r="F219" s="1">
        <v>43184</v>
      </c>
      <c r="G219">
        <v>8</v>
      </c>
      <c r="H219" s="3" t="s">
        <v>907</v>
      </c>
      <c r="I219" s="3" t="s">
        <v>28</v>
      </c>
      <c r="J219" s="3" t="s">
        <v>18</v>
      </c>
      <c r="K219" s="3" t="s">
        <v>42</v>
      </c>
      <c r="L219">
        <v>741</v>
      </c>
      <c r="M219" s="3" t="s">
        <v>909</v>
      </c>
      <c r="N219">
        <v>8892</v>
      </c>
      <c r="O219">
        <v>1111.5</v>
      </c>
      <c r="P219">
        <v>3</v>
      </c>
      <c r="Q219" s="3" t="s">
        <v>908</v>
      </c>
      <c r="R219">
        <v>0</v>
      </c>
      <c r="S219">
        <v>0</v>
      </c>
      <c r="T219" s="3" t="s">
        <v>916</v>
      </c>
      <c r="U219">
        <v>1</v>
      </c>
      <c r="V219" s="3" t="s">
        <v>917</v>
      </c>
    </row>
    <row r="220" spans="1:22" x14ac:dyDescent="0.3">
      <c r="A220">
        <v>219</v>
      </c>
      <c r="B220" s="3" t="s">
        <v>170</v>
      </c>
      <c r="C220" s="3" t="s">
        <v>372</v>
      </c>
      <c r="D220" s="3" t="s">
        <v>1131</v>
      </c>
      <c r="E220" s="3" t="s">
        <v>32</v>
      </c>
      <c r="F220" s="1">
        <v>42626</v>
      </c>
      <c r="G220">
        <v>9</v>
      </c>
      <c r="H220" s="3" t="s">
        <v>920</v>
      </c>
      <c r="I220" s="3" t="s">
        <v>41</v>
      </c>
      <c r="J220" s="3" t="s">
        <v>29</v>
      </c>
      <c r="K220" s="3" t="s">
        <v>42</v>
      </c>
      <c r="L220">
        <v>1171</v>
      </c>
      <c r="M220" s="3" t="s">
        <v>909</v>
      </c>
      <c r="N220">
        <v>14052</v>
      </c>
      <c r="O220">
        <v>1561.3333333333333</v>
      </c>
      <c r="P220">
        <v>4.5</v>
      </c>
      <c r="Q220" s="3" t="s">
        <v>913</v>
      </c>
      <c r="R220">
        <v>0</v>
      </c>
      <c r="S220">
        <v>0</v>
      </c>
      <c r="T220" s="3" t="s">
        <v>916</v>
      </c>
      <c r="U220">
        <v>0</v>
      </c>
      <c r="V220" s="3" t="s">
        <v>955</v>
      </c>
    </row>
    <row r="221" spans="1:22" x14ac:dyDescent="0.3">
      <c r="A221">
        <v>220</v>
      </c>
      <c r="B221" s="3" t="s">
        <v>373</v>
      </c>
      <c r="C221" s="3" t="s">
        <v>374</v>
      </c>
      <c r="D221" s="3" t="s">
        <v>1132</v>
      </c>
      <c r="E221" s="3" t="s">
        <v>32</v>
      </c>
      <c r="F221" s="1">
        <v>43817</v>
      </c>
      <c r="G221">
        <v>6</v>
      </c>
      <c r="H221" s="3" t="s">
        <v>912</v>
      </c>
      <c r="I221" s="3" t="s">
        <v>77</v>
      </c>
      <c r="J221" s="3" t="s">
        <v>18</v>
      </c>
      <c r="K221" s="3" t="s">
        <v>36</v>
      </c>
      <c r="L221">
        <v>2512</v>
      </c>
      <c r="M221" s="3" t="s">
        <v>913</v>
      </c>
      <c r="N221">
        <v>30144</v>
      </c>
      <c r="O221">
        <v>5024</v>
      </c>
      <c r="P221">
        <v>5</v>
      </c>
      <c r="Q221" s="3" t="s">
        <v>913</v>
      </c>
      <c r="R221">
        <v>6</v>
      </c>
      <c r="S221">
        <v>0</v>
      </c>
      <c r="T221" s="3" t="s">
        <v>908</v>
      </c>
      <c r="U221">
        <v>10</v>
      </c>
      <c r="V221" s="3" t="s">
        <v>917</v>
      </c>
    </row>
    <row r="222" spans="1:22" x14ac:dyDescent="0.3">
      <c r="A222">
        <v>221</v>
      </c>
      <c r="B222" s="3" t="s">
        <v>375</v>
      </c>
      <c r="C222" s="3" t="s">
        <v>376</v>
      </c>
      <c r="D222" s="3" t="s">
        <v>1133</v>
      </c>
      <c r="E222" s="3" t="s">
        <v>307</v>
      </c>
      <c r="F222" s="1">
        <v>43553</v>
      </c>
      <c r="G222">
        <v>7</v>
      </c>
      <c r="H222" s="3" t="s">
        <v>907</v>
      </c>
      <c r="I222" s="3" t="s">
        <v>17</v>
      </c>
      <c r="J222" s="3" t="s">
        <v>18</v>
      </c>
      <c r="K222" s="3" t="s">
        <v>19</v>
      </c>
      <c r="L222">
        <v>1608</v>
      </c>
      <c r="M222" s="3" t="s">
        <v>908</v>
      </c>
      <c r="N222">
        <v>19296</v>
      </c>
      <c r="O222">
        <v>2756.5714285714284</v>
      </c>
      <c r="P222">
        <v>1</v>
      </c>
      <c r="Q222" s="3" t="s">
        <v>909</v>
      </c>
      <c r="R222">
        <v>0</v>
      </c>
      <c r="S222">
        <v>3</v>
      </c>
      <c r="T222" s="3" t="s">
        <v>909</v>
      </c>
      <c r="U222">
        <v>4</v>
      </c>
      <c r="V222" s="3" t="s">
        <v>917</v>
      </c>
    </row>
    <row r="223" spans="1:22" x14ac:dyDescent="0.3">
      <c r="A223">
        <v>222</v>
      </c>
      <c r="B223" s="3" t="s">
        <v>195</v>
      </c>
      <c r="C223" s="3" t="s">
        <v>377</v>
      </c>
      <c r="D223" s="3" t="s">
        <v>1134</v>
      </c>
      <c r="E223" s="3" t="s">
        <v>32</v>
      </c>
      <c r="F223" s="1">
        <v>43945</v>
      </c>
      <c r="G223">
        <v>6</v>
      </c>
      <c r="H223" s="3" t="s">
        <v>912</v>
      </c>
      <c r="I223" s="3" t="s">
        <v>77</v>
      </c>
      <c r="J223" s="3" t="s">
        <v>29</v>
      </c>
      <c r="K223" s="3" t="s">
        <v>36</v>
      </c>
      <c r="L223">
        <v>1677</v>
      </c>
      <c r="M223" s="3" t="s">
        <v>908</v>
      </c>
      <c r="N223">
        <v>20124</v>
      </c>
      <c r="O223">
        <v>3354</v>
      </c>
      <c r="P223">
        <v>1</v>
      </c>
      <c r="Q223" s="3" t="s">
        <v>909</v>
      </c>
      <c r="R223">
        <v>0</v>
      </c>
      <c r="S223">
        <v>0</v>
      </c>
      <c r="T223" s="3" t="s">
        <v>916</v>
      </c>
      <c r="U223">
        <v>12</v>
      </c>
      <c r="V223" s="3" t="s">
        <v>910</v>
      </c>
    </row>
    <row r="224" spans="1:22" x14ac:dyDescent="0.3">
      <c r="A224">
        <v>223</v>
      </c>
      <c r="B224" s="3" t="s">
        <v>378</v>
      </c>
      <c r="C224" s="3" t="s">
        <v>379</v>
      </c>
      <c r="D224" s="3" t="s">
        <v>1135</v>
      </c>
      <c r="E224" s="3" t="s">
        <v>307</v>
      </c>
      <c r="F224" s="1">
        <v>43215</v>
      </c>
      <c r="G224">
        <v>8</v>
      </c>
      <c r="H224" s="3" t="s">
        <v>907</v>
      </c>
      <c r="I224" s="3" t="s">
        <v>77</v>
      </c>
      <c r="J224" s="3" t="s">
        <v>18</v>
      </c>
      <c r="K224" s="3" t="s">
        <v>19</v>
      </c>
      <c r="L224">
        <v>3414</v>
      </c>
      <c r="M224" s="3" t="s">
        <v>913</v>
      </c>
      <c r="N224">
        <v>40968</v>
      </c>
      <c r="O224">
        <v>5121</v>
      </c>
      <c r="P224">
        <v>5</v>
      </c>
      <c r="Q224" s="3" t="s">
        <v>913</v>
      </c>
      <c r="R224">
        <v>0</v>
      </c>
      <c r="S224">
        <v>0</v>
      </c>
      <c r="T224" s="3" t="s">
        <v>916</v>
      </c>
      <c r="U224">
        <v>2</v>
      </c>
      <c r="V224" s="3" t="s">
        <v>917</v>
      </c>
    </row>
    <row r="225" spans="1:22" x14ac:dyDescent="0.3">
      <c r="A225">
        <v>224</v>
      </c>
      <c r="B225" s="3" t="s">
        <v>380</v>
      </c>
      <c r="C225" s="3" t="s">
        <v>381</v>
      </c>
      <c r="D225" s="3" t="s">
        <v>1136</v>
      </c>
      <c r="E225" s="3" t="s">
        <v>32</v>
      </c>
      <c r="F225" s="1">
        <v>43553</v>
      </c>
      <c r="G225">
        <v>7</v>
      </c>
      <c r="H225" s="3" t="s">
        <v>907</v>
      </c>
      <c r="I225" s="3" t="s">
        <v>77</v>
      </c>
      <c r="J225" s="3" t="s">
        <v>294</v>
      </c>
      <c r="K225" s="3" t="s">
        <v>42</v>
      </c>
      <c r="L225">
        <v>1358</v>
      </c>
      <c r="M225" s="3" t="s">
        <v>909</v>
      </c>
      <c r="N225">
        <v>16296</v>
      </c>
      <c r="O225">
        <v>2328</v>
      </c>
      <c r="P225">
        <v>5</v>
      </c>
      <c r="Q225" s="3" t="s">
        <v>913</v>
      </c>
      <c r="R225">
        <v>0</v>
      </c>
      <c r="S225">
        <v>0</v>
      </c>
      <c r="T225" s="3" t="s">
        <v>916</v>
      </c>
      <c r="U225">
        <v>10</v>
      </c>
      <c r="V225" s="3" t="s">
        <v>917</v>
      </c>
    </row>
    <row r="226" spans="1:22" x14ac:dyDescent="0.3">
      <c r="A226">
        <v>225</v>
      </c>
      <c r="B226" s="3" t="s">
        <v>33</v>
      </c>
      <c r="C226" s="3" t="s">
        <v>382</v>
      </c>
      <c r="D226" s="3" t="s">
        <v>1137</v>
      </c>
      <c r="E226" s="3" t="s">
        <v>32</v>
      </c>
      <c r="F226" s="1">
        <v>43694</v>
      </c>
      <c r="G226">
        <v>7</v>
      </c>
      <c r="H226" s="3" t="s">
        <v>907</v>
      </c>
      <c r="I226" s="3" t="s">
        <v>41</v>
      </c>
      <c r="J226" s="3" t="s">
        <v>18</v>
      </c>
      <c r="K226" s="3" t="s">
        <v>60</v>
      </c>
      <c r="L226">
        <v>703</v>
      </c>
      <c r="M226" s="3" t="s">
        <v>909</v>
      </c>
      <c r="N226">
        <v>8436</v>
      </c>
      <c r="O226">
        <v>1205.1428571428571</v>
      </c>
      <c r="P226">
        <v>4.5</v>
      </c>
      <c r="Q226" s="3" t="s">
        <v>913</v>
      </c>
      <c r="R226">
        <v>0</v>
      </c>
      <c r="S226">
        <v>0</v>
      </c>
      <c r="T226" s="3" t="s">
        <v>916</v>
      </c>
      <c r="U226">
        <v>64</v>
      </c>
      <c r="V226" s="3" t="s">
        <v>910</v>
      </c>
    </row>
    <row r="227" spans="1:22" x14ac:dyDescent="0.3">
      <c r="A227">
        <v>226</v>
      </c>
      <c r="B227" s="3" t="s">
        <v>383</v>
      </c>
      <c r="C227" s="3" t="s">
        <v>384</v>
      </c>
      <c r="D227" s="3" t="s">
        <v>1138</v>
      </c>
      <c r="E227" s="3" t="s">
        <v>307</v>
      </c>
      <c r="F227" s="1">
        <v>43443</v>
      </c>
      <c r="G227">
        <v>7</v>
      </c>
      <c r="H227" s="3" t="s">
        <v>907</v>
      </c>
      <c r="I227" s="3" t="s">
        <v>35</v>
      </c>
      <c r="J227" s="3" t="s">
        <v>18</v>
      </c>
      <c r="K227" s="3" t="s">
        <v>42</v>
      </c>
      <c r="L227">
        <v>2017</v>
      </c>
      <c r="M227" s="3" t="s">
        <v>908</v>
      </c>
      <c r="N227">
        <v>24204</v>
      </c>
      <c r="O227">
        <v>3457.7142857142858</v>
      </c>
      <c r="P227">
        <v>2</v>
      </c>
      <c r="Q227" s="3" t="s">
        <v>909</v>
      </c>
      <c r="R227">
        <v>0</v>
      </c>
      <c r="S227">
        <v>1</v>
      </c>
      <c r="T227" s="3" t="s">
        <v>909</v>
      </c>
      <c r="U227">
        <v>8</v>
      </c>
      <c r="V227" s="3" t="s">
        <v>917</v>
      </c>
    </row>
    <row r="228" spans="1:22" x14ac:dyDescent="0.3">
      <c r="A228">
        <v>227</v>
      </c>
      <c r="B228" s="3" t="s">
        <v>263</v>
      </c>
      <c r="C228" s="3" t="s">
        <v>385</v>
      </c>
      <c r="D228" s="3" t="s">
        <v>1139</v>
      </c>
      <c r="E228" s="3" t="s">
        <v>32</v>
      </c>
      <c r="F228" s="1">
        <v>43687</v>
      </c>
      <c r="G228">
        <v>7</v>
      </c>
      <c r="H228" s="3" t="s">
        <v>907</v>
      </c>
      <c r="I228" s="3" t="s">
        <v>35</v>
      </c>
      <c r="J228" s="3" t="s">
        <v>18</v>
      </c>
      <c r="K228" s="3" t="s">
        <v>42</v>
      </c>
      <c r="L228">
        <v>1806</v>
      </c>
      <c r="M228" s="3" t="s">
        <v>908</v>
      </c>
      <c r="N228">
        <v>21672</v>
      </c>
      <c r="O228">
        <v>3096</v>
      </c>
      <c r="P228">
        <v>5</v>
      </c>
      <c r="Q228" s="3" t="s">
        <v>913</v>
      </c>
      <c r="R228">
        <v>0</v>
      </c>
      <c r="S228">
        <v>0</v>
      </c>
      <c r="T228" s="3" t="s">
        <v>916</v>
      </c>
      <c r="U228">
        <v>7</v>
      </c>
      <c r="V228" s="3" t="s">
        <v>917</v>
      </c>
    </row>
    <row r="229" spans="1:22" x14ac:dyDescent="0.3">
      <c r="A229">
        <v>228</v>
      </c>
      <c r="B229" s="3" t="s">
        <v>383</v>
      </c>
      <c r="C229" s="3" t="s">
        <v>386</v>
      </c>
      <c r="D229" s="3" t="s">
        <v>1140</v>
      </c>
      <c r="E229" s="3" t="s">
        <v>307</v>
      </c>
      <c r="F229" s="1">
        <v>43663</v>
      </c>
      <c r="G229">
        <v>7</v>
      </c>
      <c r="H229" s="3" t="s">
        <v>907</v>
      </c>
      <c r="I229" s="3" t="s">
        <v>118</v>
      </c>
      <c r="J229" s="3" t="s">
        <v>18</v>
      </c>
      <c r="K229" s="3" t="s">
        <v>36</v>
      </c>
      <c r="L229">
        <v>2421</v>
      </c>
      <c r="M229" s="3" t="s">
        <v>908</v>
      </c>
      <c r="N229">
        <v>29052</v>
      </c>
      <c r="O229">
        <v>4150.2857142857147</v>
      </c>
      <c r="P229">
        <v>3</v>
      </c>
      <c r="Q229" s="3" t="s">
        <v>908</v>
      </c>
      <c r="R229">
        <v>6</v>
      </c>
      <c r="S229">
        <v>0</v>
      </c>
      <c r="T229" s="3" t="s">
        <v>908</v>
      </c>
      <c r="U229">
        <v>16</v>
      </c>
      <c r="V229" s="3" t="s">
        <v>910</v>
      </c>
    </row>
    <row r="230" spans="1:22" x14ac:dyDescent="0.3">
      <c r="A230">
        <v>229</v>
      </c>
      <c r="B230" s="3" t="s">
        <v>186</v>
      </c>
      <c r="C230" s="3" t="s">
        <v>33</v>
      </c>
      <c r="D230" s="3" t="s">
        <v>1141</v>
      </c>
      <c r="E230" s="3" t="s">
        <v>32</v>
      </c>
      <c r="F230" s="1">
        <v>43256</v>
      </c>
      <c r="G230">
        <v>8</v>
      </c>
      <c r="H230" s="3" t="s">
        <v>907</v>
      </c>
      <c r="I230" s="3" t="s">
        <v>58</v>
      </c>
      <c r="J230" s="3" t="s">
        <v>29</v>
      </c>
      <c r="K230" s="3" t="s">
        <v>36</v>
      </c>
      <c r="L230">
        <v>1461</v>
      </c>
      <c r="M230" s="3" t="s">
        <v>909</v>
      </c>
      <c r="N230">
        <v>17532</v>
      </c>
      <c r="O230">
        <v>2191.5</v>
      </c>
      <c r="P230">
        <v>5</v>
      </c>
      <c r="Q230" s="3" t="s">
        <v>913</v>
      </c>
      <c r="R230">
        <v>1</v>
      </c>
      <c r="S230">
        <v>0</v>
      </c>
      <c r="T230" s="3" t="s">
        <v>909</v>
      </c>
      <c r="U230">
        <v>7</v>
      </c>
      <c r="V230" s="3" t="s">
        <v>917</v>
      </c>
    </row>
    <row r="231" spans="1:22" x14ac:dyDescent="0.3">
      <c r="A231">
        <v>230</v>
      </c>
      <c r="B231" s="3" t="s">
        <v>99</v>
      </c>
      <c r="C231" s="3" t="s">
        <v>387</v>
      </c>
      <c r="D231" s="3" t="s">
        <v>1142</v>
      </c>
      <c r="E231" s="3" t="s">
        <v>307</v>
      </c>
      <c r="F231" s="1">
        <v>44106</v>
      </c>
      <c r="G231">
        <v>5</v>
      </c>
      <c r="H231" s="3" t="s">
        <v>912</v>
      </c>
      <c r="I231" s="3" t="s">
        <v>28</v>
      </c>
      <c r="J231" s="3" t="s">
        <v>18</v>
      </c>
      <c r="K231" s="3" t="s">
        <v>60</v>
      </c>
      <c r="L231">
        <v>1287</v>
      </c>
      <c r="M231" s="3" t="s">
        <v>909</v>
      </c>
      <c r="N231">
        <v>15444</v>
      </c>
      <c r="O231">
        <v>3088.8</v>
      </c>
      <c r="P231">
        <v>1</v>
      </c>
      <c r="Q231" s="3" t="s">
        <v>909</v>
      </c>
      <c r="R231">
        <v>0</v>
      </c>
      <c r="S231">
        <v>0</v>
      </c>
      <c r="T231" s="3" t="s">
        <v>916</v>
      </c>
      <c r="U231">
        <v>7</v>
      </c>
      <c r="V231" s="3" t="s">
        <v>917</v>
      </c>
    </row>
    <row r="232" spans="1:22" x14ac:dyDescent="0.3">
      <c r="A232">
        <v>231</v>
      </c>
      <c r="B232" s="3" t="s">
        <v>388</v>
      </c>
      <c r="C232" s="3" t="s">
        <v>389</v>
      </c>
      <c r="D232" s="3" t="s">
        <v>1143</v>
      </c>
      <c r="E232" s="3" t="s">
        <v>32</v>
      </c>
      <c r="F232" s="1">
        <v>43244</v>
      </c>
      <c r="G232">
        <v>8</v>
      </c>
      <c r="H232" s="3" t="s">
        <v>907</v>
      </c>
      <c r="I232" s="3" t="s">
        <v>28</v>
      </c>
      <c r="J232" s="3" t="s">
        <v>18</v>
      </c>
      <c r="K232" s="3" t="s">
        <v>42</v>
      </c>
      <c r="L232">
        <v>2756</v>
      </c>
      <c r="M232" s="3" t="s">
        <v>913</v>
      </c>
      <c r="N232">
        <v>33072</v>
      </c>
      <c r="O232">
        <v>4134</v>
      </c>
      <c r="P232">
        <v>3</v>
      </c>
      <c r="Q232" s="3" t="s">
        <v>908</v>
      </c>
      <c r="R232">
        <v>2</v>
      </c>
      <c r="S232">
        <v>0</v>
      </c>
      <c r="T232" s="3" t="s">
        <v>909</v>
      </c>
      <c r="U232">
        <v>4</v>
      </c>
      <c r="V232" s="3" t="s">
        <v>917</v>
      </c>
    </row>
    <row r="233" spans="1:22" x14ac:dyDescent="0.3">
      <c r="A233">
        <v>232</v>
      </c>
      <c r="B233" s="3" t="s">
        <v>390</v>
      </c>
      <c r="C233" s="3" t="s">
        <v>391</v>
      </c>
      <c r="D233" s="3" t="s">
        <v>1144</v>
      </c>
      <c r="E233" s="3" t="s">
        <v>32</v>
      </c>
      <c r="F233" s="1">
        <v>43474</v>
      </c>
      <c r="G233">
        <v>7</v>
      </c>
      <c r="H233" s="3" t="s">
        <v>907</v>
      </c>
      <c r="I233" s="3" t="s">
        <v>17</v>
      </c>
      <c r="J233" s="3" t="s">
        <v>18</v>
      </c>
      <c r="K233" s="3" t="s">
        <v>42</v>
      </c>
      <c r="L233">
        <v>2332</v>
      </c>
      <c r="M233" s="3" t="s">
        <v>908</v>
      </c>
      <c r="N233">
        <v>27984</v>
      </c>
      <c r="O233">
        <v>3997.7142857142858</v>
      </c>
      <c r="P233">
        <v>5</v>
      </c>
      <c r="Q233" s="3" t="s">
        <v>913</v>
      </c>
      <c r="R233">
        <v>0</v>
      </c>
      <c r="S233">
        <v>0</v>
      </c>
      <c r="T233" s="3" t="s">
        <v>916</v>
      </c>
      <c r="U233">
        <v>2</v>
      </c>
      <c r="V233" s="3" t="s">
        <v>917</v>
      </c>
    </row>
    <row r="234" spans="1:22" x14ac:dyDescent="0.3">
      <c r="A234">
        <v>233</v>
      </c>
      <c r="B234" s="3" t="s">
        <v>392</v>
      </c>
      <c r="C234" s="3" t="s">
        <v>393</v>
      </c>
      <c r="D234" s="3" t="s">
        <v>1145</v>
      </c>
      <c r="E234" s="3" t="s">
        <v>32</v>
      </c>
      <c r="F234" s="1">
        <v>43795</v>
      </c>
      <c r="G234">
        <v>6</v>
      </c>
      <c r="H234" s="3" t="s">
        <v>912</v>
      </c>
      <c r="I234" s="3" t="s">
        <v>76</v>
      </c>
      <c r="J234" s="3" t="s">
        <v>18</v>
      </c>
      <c r="K234" s="3" t="s">
        <v>42</v>
      </c>
      <c r="L234">
        <v>812</v>
      </c>
      <c r="M234" s="3" t="s">
        <v>909</v>
      </c>
      <c r="N234">
        <v>9744</v>
      </c>
      <c r="O234">
        <v>1624</v>
      </c>
      <c r="P234">
        <v>3</v>
      </c>
      <c r="Q234" s="3" t="s">
        <v>908</v>
      </c>
      <c r="R234">
        <v>0</v>
      </c>
      <c r="S234">
        <v>0</v>
      </c>
      <c r="T234" s="3" t="s">
        <v>916</v>
      </c>
      <c r="U234">
        <v>10</v>
      </c>
      <c r="V234" s="3" t="s">
        <v>917</v>
      </c>
    </row>
    <row r="235" spans="1:22" x14ac:dyDescent="0.3">
      <c r="A235">
        <v>234</v>
      </c>
      <c r="B235" s="3" t="s">
        <v>394</v>
      </c>
      <c r="C235" s="3" t="s">
        <v>395</v>
      </c>
      <c r="D235" s="3" t="s">
        <v>1146</v>
      </c>
      <c r="E235" s="3" t="s">
        <v>32</v>
      </c>
      <c r="F235" s="1">
        <v>44103</v>
      </c>
      <c r="G235">
        <v>5</v>
      </c>
      <c r="H235" s="3" t="s">
        <v>912</v>
      </c>
      <c r="I235" s="3" t="s">
        <v>28</v>
      </c>
      <c r="J235" s="3" t="s">
        <v>18</v>
      </c>
      <c r="K235" s="3" t="s">
        <v>36</v>
      </c>
      <c r="L235">
        <v>2651</v>
      </c>
      <c r="M235" s="3" t="s">
        <v>913</v>
      </c>
      <c r="N235">
        <v>31812</v>
      </c>
      <c r="O235">
        <v>6362.4</v>
      </c>
      <c r="P235">
        <v>1</v>
      </c>
      <c r="Q235" s="3" t="s">
        <v>909</v>
      </c>
      <c r="R235">
        <v>0</v>
      </c>
      <c r="S235">
        <v>0</v>
      </c>
      <c r="T235" s="3" t="s">
        <v>916</v>
      </c>
      <c r="U235">
        <v>12</v>
      </c>
      <c r="V235" s="3" t="s">
        <v>910</v>
      </c>
    </row>
    <row r="236" spans="1:22" x14ac:dyDescent="0.3">
      <c r="A236">
        <v>235</v>
      </c>
      <c r="B236" s="3" t="s">
        <v>127</v>
      </c>
      <c r="C236" s="3" t="s">
        <v>396</v>
      </c>
      <c r="D236" s="3" t="s">
        <v>1147</v>
      </c>
      <c r="E236" s="3" t="s">
        <v>32</v>
      </c>
      <c r="F236" s="1">
        <v>43547</v>
      </c>
      <c r="G236">
        <v>7</v>
      </c>
      <c r="H236" s="3" t="s">
        <v>907</v>
      </c>
      <c r="I236" s="3" t="s">
        <v>39</v>
      </c>
      <c r="J236" s="3" t="s">
        <v>29</v>
      </c>
      <c r="K236" s="3" t="s">
        <v>19</v>
      </c>
      <c r="L236">
        <v>2331</v>
      </c>
      <c r="M236" s="3" t="s">
        <v>908</v>
      </c>
      <c r="N236">
        <v>27972</v>
      </c>
      <c r="O236">
        <v>3996</v>
      </c>
      <c r="P236">
        <v>4.5</v>
      </c>
      <c r="Q236" s="3" t="s">
        <v>913</v>
      </c>
      <c r="R236">
        <v>0</v>
      </c>
      <c r="S236">
        <v>0</v>
      </c>
      <c r="T236" s="3" t="s">
        <v>916</v>
      </c>
      <c r="U236">
        <v>9</v>
      </c>
      <c r="V236" s="3" t="s">
        <v>917</v>
      </c>
    </row>
    <row r="237" spans="1:22" x14ac:dyDescent="0.3">
      <c r="A237">
        <v>236</v>
      </c>
      <c r="B237" s="3" t="s">
        <v>33</v>
      </c>
      <c r="C237" s="3" t="s">
        <v>397</v>
      </c>
      <c r="D237" s="3" t="s">
        <v>1148</v>
      </c>
      <c r="E237" s="3" t="s">
        <v>32</v>
      </c>
      <c r="F237" s="1">
        <v>43826</v>
      </c>
      <c r="G237">
        <v>6</v>
      </c>
      <c r="H237" s="3" t="s">
        <v>912</v>
      </c>
      <c r="I237" s="3" t="s">
        <v>39</v>
      </c>
      <c r="J237" s="3" t="s">
        <v>22</v>
      </c>
      <c r="K237" s="3" t="s">
        <v>36</v>
      </c>
      <c r="L237">
        <v>2162</v>
      </c>
      <c r="M237" s="3" t="s">
        <v>908</v>
      </c>
      <c r="N237">
        <v>25944</v>
      </c>
      <c r="O237">
        <v>4324</v>
      </c>
      <c r="P237">
        <v>5</v>
      </c>
      <c r="Q237" s="3" t="s">
        <v>913</v>
      </c>
      <c r="R237">
        <v>0</v>
      </c>
      <c r="S237">
        <v>0</v>
      </c>
      <c r="T237" s="3" t="s">
        <v>916</v>
      </c>
      <c r="U237">
        <v>13</v>
      </c>
      <c r="V237" s="3" t="s">
        <v>910</v>
      </c>
    </row>
    <row r="238" spans="1:22" x14ac:dyDescent="0.3">
      <c r="A238">
        <v>237</v>
      </c>
      <c r="B238" s="3" t="s">
        <v>398</v>
      </c>
      <c r="C238" s="3" t="s">
        <v>399</v>
      </c>
      <c r="D238" s="3" t="s">
        <v>1149</v>
      </c>
      <c r="E238" s="3" t="s">
        <v>32</v>
      </c>
      <c r="F238" s="1">
        <v>43991</v>
      </c>
      <c r="G238">
        <v>6</v>
      </c>
      <c r="H238" s="3" t="s">
        <v>912</v>
      </c>
      <c r="I238" s="3" t="s">
        <v>28</v>
      </c>
      <c r="J238" s="3" t="s">
        <v>18</v>
      </c>
      <c r="K238" s="3" t="s">
        <v>36</v>
      </c>
      <c r="L238">
        <v>1952</v>
      </c>
      <c r="M238" s="3" t="s">
        <v>908</v>
      </c>
      <c r="N238">
        <v>23424</v>
      </c>
      <c r="O238">
        <v>3904</v>
      </c>
      <c r="P238">
        <v>3</v>
      </c>
      <c r="Q238" s="3" t="s">
        <v>908</v>
      </c>
      <c r="R238">
        <v>1</v>
      </c>
      <c r="S238">
        <v>1</v>
      </c>
      <c r="T238" s="3" t="s">
        <v>909</v>
      </c>
      <c r="U238">
        <v>34</v>
      </c>
      <c r="V238" s="3" t="s">
        <v>910</v>
      </c>
    </row>
    <row r="239" spans="1:22" x14ac:dyDescent="0.3">
      <c r="A239">
        <v>238</v>
      </c>
      <c r="B239" s="3" t="s">
        <v>79</v>
      </c>
      <c r="C239" s="3" t="s">
        <v>400</v>
      </c>
      <c r="D239" s="3" t="s">
        <v>1150</v>
      </c>
      <c r="E239" s="3" t="s">
        <v>307</v>
      </c>
      <c r="F239" s="1">
        <v>43931</v>
      </c>
      <c r="G239">
        <v>6</v>
      </c>
      <c r="H239" s="3" t="s">
        <v>912</v>
      </c>
      <c r="I239" s="3" t="s">
        <v>35</v>
      </c>
      <c r="J239" s="3" t="s">
        <v>18</v>
      </c>
      <c r="K239" s="3" t="s">
        <v>36</v>
      </c>
      <c r="L239">
        <v>2976</v>
      </c>
      <c r="M239" s="3" t="s">
        <v>913</v>
      </c>
      <c r="N239">
        <v>35712</v>
      </c>
      <c r="O239">
        <v>5952</v>
      </c>
      <c r="P239">
        <v>4.5</v>
      </c>
      <c r="Q239" s="3" t="s">
        <v>913</v>
      </c>
      <c r="R239">
        <v>0</v>
      </c>
      <c r="S239">
        <v>2</v>
      </c>
      <c r="T239" s="3" t="s">
        <v>909</v>
      </c>
      <c r="U239">
        <v>6</v>
      </c>
      <c r="V239" s="3" t="s">
        <v>917</v>
      </c>
    </row>
    <row r="240" spans="1:22" x14ac:dyDescent="0.3">
      <c r="A240">
        <v>239</v>
      </c>
      <c r="B240" s="3" t="s">
        <v>30</v>
      </c>
      <c r="C240" s="3" t="s">
        <v>401</v>
      </c>
      <c r="D240" s="3" t="s">
        <v>1151</v>
      </c>
      <c r="E240" s="3" t="s">
        <v>32</v>
      </c>
      <c r="F240" s="1">
        <v>43272</v>
      </c>
      <c r="G240">
        <v>8</v>
      </c>
      <c r="H240" s="3" t="s">
        <v>907</v>
      </c>
      <c r="I240" s="3" t="s">
        <v>28</v>
      </c>
      <c r="J240" s="3" t="s">
        <v>22</v>
      </c>
      <c r="K240" s="3" t="s">
        <v>42</v>
      </c>
      <c r="L240">
        <v>2080</v>
      </c>
      <c r="M240" s="3" t="s">
        <v>908</v>
      </c>
      <c r="N240">
        <v>24960</v>
      </c>
      <c r="O240">
        <v>3120</v>
      </c>
      <c r="P240">
        <v>5</v>
      </c>
      <c r="Q240" s="3" t="s">
        <v>913</v>
      </c>
      <c r="R240">
        <v>0</v>
      </c>
      <c r="S240">
        <v>5</v>
      </c>
      <c r="T240" s="3" t="s">
        <v>908</v>
      </c>
      <c r="U240">
        <v>13</v>
      </c>
      <c r="V240" s="3" t="s">
        <v>910</v>
      </c>
    </row>
    <row r="241" spans="1:22" x14ac:dyDescent="0.3">
      <c r="A241">
        <v>240</v>
      </c>
      <c r="B241" s="3" t="s">
        <v>341</v>
      </c>
      <c r="C241" s="3" t="s">
        <v>402</v>
      </c>
      <c r="D241" s="3" t="s">
        <v>1152</v>
      </c>
      <c r="E241" s="3" t="s">
        <v>32</v>
      </c>
      <c r="F241" s="1">
        <v>43431</v>
      </c>
      <c r="G241">
        <v>7</v>
      </c>
      <c r="H241" s="3" t="s">
        <v>907</v>
      </c>
      <c r="I241" s="3" t="s">
        <v>58</v>
      </c>
      <c r="J241" s="3" t="s">
        <v>18</v>
      </c>
      <c r="K241" s="3" t="s">
        <v>42</v>
      </c>
      <c r="L241">
        <v>1668</v>
      </c>
      <c r="M241" s="3" t="s">
        <v>908</v>
      </c>
      <c r="N241">
        <v>20016</v>
      </c>
      <c r="O241">
        <v>2859.4285714285716</v>
      </c>
      <c r="P241">
        <v>4.5</v>
      </c>
      <c r="Q241" s="3" t="s">
        <v>913</v>
      </c>
      <c r="R241">
        <v>0</v>
      </c>
      <c r="S241">
        <v>3</v>
      </c>
      <c r="T241" s="3" t="s">
        <v>909</v>
      </c>
      <c r="U241">
        <v>3</v>
      </c>
      <c r="V241" s="3" t="s">
        <v>917</v>
      </c>
    </row>
    <row r="242" spans="1:22" x14ac:dyDescent="0.3">
      <c r="A242">
        <v>241</v>
      </c>
      <c r="B242" s="3" t="s">
        <v>33</v>
      </c>
      <c r="C242" s="3" t="s">
        <v>403</v>
      </c>
      <c r="D242" s="3" t="s">
        <v>1153</v>
      </c>
      <c r="E242" s="3" t="s">
        <v>32</v>
      </c>
      <c r="F242" s="1">
        <v>42556</v>
      </c>
      <c r="G242">
        <v>10</v>
      </c>
      <c r="H242" s="3" t="s">
        <v>920</v>
      </c>
      <c r="I242" s="3" t="s">
        <v>58</v>
      </c>
      <c r="J242" s="3" t="s">
        <v>18</v>
      </c>
      <c r="K242" s="3" t="s">
        <v>42</v>
      </c>
      <c r="L242">
        <v>2234</v>
      </c>
      <c r="M242" s="3" t="s">
        <v>908</v>
      </c>
      <c r="N242">
        <v>26808</v>
      </c>
      <c r="O242">
        <v>2680.8</v>
      </c>
      <c r="P242">
        <v>5</v>
      </c>
      <c r="Q242" s="3" t="s">
        <v>913</v>
      </c>
      <c r="R242">
        <v>3</v>
      </c>
      <c r="S242">
        <v>0</v>
      </c>
      <c r="T242" s="3" t="s">
        <v>909</v>
      </c>
      <c r="U242">
        <v>7</v>
      </c>
      <c r="V242" s="3" t="s">
        <v>917</v>
      </c>
    </row>
    <row r="243" spans="1:22" x14ac:dyDescent="0.3">
      <c r="A243">
        <v>242</v>
      </c>
      <c r="B243" s="3" t="s">
        <v>404</v>
      </c>
      <c r="C243" s="3" t="s">
        <v>405</v>
      </c>
      <c r="D243" s="3" t="s">
        <v>1154</v>
      </c>
      <c r="E243" s="3" t="s">
        <v>32</v>
      </c>
      <c r="F243" s="1">
        <v>43765</v>
      </c>
      <c r="G243">
        <v>6</v>
      </c>
      <c r="H243" s="3" t="s">
        <v>912</v>
      </c>
      <c r="I243" s="3" t="s">
        <v>41</v>
      </c>
      <c r="J243" s="3" t="s">
        <v>48</v>
      </c>
      <c r="K243" s="3" t="s">
        <v>60</v>
      </c>
      <c r="L243">
        <v>2096</v>
      </c>
      <c r="M243" s="3" t="s">
        <v>908</v>
      </c>
      <c r="N243">
        <v>25152</v>
      </c>
      <c r="O243">
        <v>4192</v>
      </c>
      <c r="P243">
        <v>3</v>
      </c>
      <c r="Q243" s="3" t="s">
        <v>908</v>
      </c>
      <c r="R243">
        <v>5</v>
      </c>
      <c r="S243">
        <v>2</v>
      </c>
      <c r="T243" s="3" t="s">
        <v>913</v>
      </c>
      <c r="U243">
        <v>0</v>
      </c>
      <c r="V243" s="3" t="s">
        <v>955</v>
      </c>
    </row>
    <row r="244" spans="1:22" x14ac:dyDescent="0.3">
      <c r="A244">
        <v>243</v>
      </c>
      <c r="B244" s="3" t="s">
        <v>33</v>
      </c>
      <c r="C244" s="3" t="s">
        <v>406</v>
      </c>
      <c r="D244" s="3" t="s">
        <v>1155</v>
      </c>
      <c r="E244" s="3" t="s">
        <v>32</v>
      </c>
      <c r="F244" s="1">
        <v>43612</v>
      </c>
      <c r="G244">
        <v>7</v>
      </c>
      <c r="H244" s="3" t="s">
        <v>907</v>
      </c>
      <c r="I244" s="3" t="s">
        <v>28</v>
      </c>
      <c r="J244" s="3" t="s">
        <v>22</v>
      </c>
      <c r="K244" s="3" t="s">
        <v>42</v>
      </c>
      <c r="L244">
        <v>2129</v>
      </c>
      <c r="M244" s="3" t="s">
        <v>908</v>
      </c>
      <c r="N244">
        <v>25548</v>
      </c>
      <c r="O244">
        <v>3649.7142857142858</v>
      </c>
      <c r="P244">
        <v>3</v>
      </c>
      <c r="Q244" s="3" t="s">
        <v>908</v>
      </c>
      <c r="R244">
        <v>1</v>
      </c>
      <c r="S244">
        <v>1</v>
      </c>
      <c r="T244" s="3" t="s">
        <v>909</v>
      </c>
      <c r="U244">
        <v>3</v>
      </c>
      <c r="V244" s="3" t="s">
        <v>917</v>
      </c>
    </row>
    <row r="245" spans="1:22" x14ac:dyDescent="0.3">
      <c r="A245">
        <v>244</v>
      </c>
      <c r="B245" s="3" t="s">
        <v>407</v>
      </c>
      <c r="C245" s="3" t="s">
        <v>408</v>
      </c>
      <c r="D245" s="3" t="s">
        <v>1156</v>
      </c>
      <c r="E245" s="3" t="s">
        <v>32</v>
      </c>
      <c r="F245" s="1">
        <v>43508</v>
      </c>
      <c r="G245">
        <v>7</v>
      </c>
      <c r="H245" s="3" t="s">
        <v>907</v>
      </c>
      <c r="I245" s="3" t="s">
        <v>28</v>
      </c>
      <c r="J245" s="3" t="s">
        <v>22</v>
      </c>
      <c r="K245" s="3" t="s">
        <v>42</v>
      </c>
      <c r="L245">
        <v>1429</v>
      </c>
      <c r="M245" s="3" t="s">
        <v>909</v>
      </c>
      <c r="N245">
        <v>17148</v>
      </c>
      <c r="O245">
        <v>2449.7142857142858</v>
      </c>
      <c r="P245">
        <v>3</v>
      </c>
      <c r="Q245" s="3" t="s">
        <v>908</v>
      </c>
      <c r="R245">
        <v>0</v>
      </c>
      <c r="S245">
        <v>5</v>
      </c>
      <c r="T245" s="3" t="s">
        <v>908</v>
      </c>
      <c r="U245">
        <v>8</v>
      </c>
      <c r="V245" s="3" t="s">
        <v>917</v>
      </c>
    </row>
    <row r="246" spans="1:22" x14ac:dyDescent="0.3">
      <c r="A246">
        <v>245</v>
      </c>
      <c r="B246" s="3" t="s">
        <v>33</v>
      </c>
      <c r="C246" s="3" t="s">
        <v>409</v>
      </c>
      <c r="D246" s="3" t="s">
        <v>1157</v>
      </c>
      <c r="E246" s="3" t="s">
        <v>32</v>
      </c>
      <c r="F246" s="1">
        <v>44126</v>
      </c>
      <c r="G246">
        <v>5</v>
      </c>
      <c r="H246" s="3" t="s">
        <v>912</v>
      </c>
      <c r="I246" s="3" t="s">
        <v>28</v>
      </c>
      <c r="J246" s="3" t="s">
        <v>29</v>
      </c>
      <c r="K246" s="3" t="s">
        <v>36</v>
      </c>
      <c r="L246">
        <v>1479</v>
      </c>
      <c r="M246" s="3" t="s">
        <v>909</v>
      </c>
      <c r="N246">
        <v>17748</v>
      </c>
      <c r="O246">
        <v>3549.6</v>
      </c>
      <c r="P246">
        <v>3</v>
      </c>
      <c r="Q246" s="3" t="s">
        <v>908</v>
      </c>
      <c r="R246">
        <v>5</v>
      </c>
      <c r="S246">
        <v>4</v>
      </c>
      <c r="T246" s="3" t="s">
        <v>913</v>
      </c>
      <c r="U246">
        <v>8</v>
      </c>
      <c r="V246" s="3" t="s">
        <v>917</v>
      </c>
    </row>
    <row r="247" spans="1:22" x14ac:dyDescent="0.3">
      <c r="A247">
        <v>246</v>
      </c>
      <c r="B247" s="3" t="s">
        <v>165</v>
      </c>
      <c r="C247" s="3" t="s">
        <v>410</v>
      </c>
      <c r="D247" s="3" t="s">
        <v>1158</v>
      </c>
      <c r="E247" s="3" t="s">
        <v>32</v>
      </c>
      <c r="F247" s="1">
        <v>44181</v>
      </c>
      <c r="G247">
        <v>5</v>
      </c>
      <c r="H247" s="3" t="s">
        <v>912</v>
      </c>
      <c r="I247" s="3" t="s">
        <v>17</v>
      </c>
      <c r="J247" s="3" t="s">
        <v>29</v>
      </c>
      <c r="K247" s="3" t="s">
        <v>36</v>
      </c>
      <c r="L247">
        <v>2884</v>
      </c>
      <c r="M247" s="3" t="s">
        <v>913</v>
      </c>
      <c r="N247">
        <v>34608</v>
      </c>
      <c r="O247">
        <v>6921.6</v>
      </c>
      <c r="P247">
        <v>5</v>
      </c>
      <c r="Q247" s="3" t="s">
        <v>913</v>
      </c>
      <c r="R247">
        <v>1</v>
      </c>
      <c r="S247">
        <v>6</v>
      </c>
      <c r="T247" s="3" t="s">
        <v>913</v>
      </c>
      <c r="U247">
        <v>3</v>
      </c>
      <c r="V247" s="3" t="s">
        <v>917</v>
      </c>
    </row>
    <row r="248" spans="1:22" x14ac:dyDescent="0.3">
      <c r="A248">
        <v>247</v>
      </c>
      <c r="B248" s="3" t="s">
        <v>67</v>
      </c>
      <c r="C248" s="3" t="s">
        <v>411</v>
      </c>
      <c r="D248" s="3" t="s">
        <v>1159</v>
      </c>
      <c r="E248" s="3" t="s">
        <v>32</v>
      </c>
      <c r="F248" s="1">
        <v>44167</v>
      </c>
      <c r="G248">
        <v>5</v>
      </c>
      <c r="H248" s="3" t="s">
        <v>912</v>
      </c>
      <c r="I248" s="3" t="s">
        <v>76</v>
      </c>
      <c r="J248" s="3" t="s">
        <v>48</v>
      </c>
      <c r="K248" s="3" t="s">
        <v>42</v>
      </c>
      <c r="L248">
        <v>2947</v>
      </c>
      <c r="M248" s="3" t="s">
        <v>913</v>
      </c>
      <c r="N248">
        <v>35364</v>
      </c>
      <c r="O248">
        <v>7072.8</v>
      </c>
      <c r="P248">
        <v>3</v>
      </c>
      <c r="Q248" s="3" t="s">
        <v>908</v>
      </c>
      <c r="R248">
        <v>5</v>
      </c>
      <c r="S248">
        <v>0</v>
      </c>
      <c r="T248" s="3" t="s">
        <v>908</v>
      </c>
      <c r="U248">
        <v>1</v>
      </c>
      <c r="V248" s="3" t="s">
        <v>917</v>
      </c>
    </row>
    <row r="249" spans="1:22" x14ac:dyDescent="0.3">
      <c r="A249">
        <v>248</v>
      </c>
      <c r="B249" s="3" t="s">
        <v>263</v>
      </c>
      <c r="C249" s="3" t="s">
        <v>412</v>
      </c>
      <c r="D249" s="3" t="s">
        <v>1160</v>
      </c>
      <c r="E249" s="3" t="s">
        <v>32</v>
      </c>
      <c r="F249" s="1">
        <v>43275</v>
      </c>
      <c r="G249">
        <v>8</v>
      </c>
      <c r="H249" s="3" t="s">
        <v>907</v>
      </c>
      <c r="I249" s="3" t="s">
        <v>17</v>
      </c>
      <c r="J249" s="3" t="s">
        <v>18</v>
      </c>
      <c r="K249" s="3" t="s">
        <v>36</v>
      </c>
      <c r="L249">
        <v>1795</v>
      </c>
      <c r="M249" s="3" t="s">
        <v>908</v>
      </c>
      <c r="N249">
        <v>21540</v>
      </c>
      <c r="O249">
        <v>2692.5</v>
      </c>
      <c r="P249">
        <v>1</v>
      </c>
      <c r="Q249" s="3" t="s">
        <v>909</v>
      </c>
      <c r="R249">
        <v>0</v>
      </c>
      <c r="S249">
        <v>0</v>
      </c>
      <c r="T249" s="3" t="s">
        <v>916</v>
      </c>
      <c r="U249">
        <v>4</v>
      </c>
      <c r="V249" s="3" t="s">
        <v>917</v>
      </c>
    </row>
    <row r="250" spans="1:22" x14ac:dyDescent="0.3">
      <c r="A250">
        <v>249</v>
      </c>
      <c r="B250" s="3" t="s">
        <v>413</v>
      </c>
      <c r="C250" s="3" t="s">
        <v>198</v>
      </c>
      <c r="D250" s="3" t="s">
        <v>1161</v>
      </c>
      <c r="E250" s="3" t="s">
        <v>307</v>
      </c>
      <c r="F250" s="1">
        <v>43137</v>
      </c>
      <c r="G250">
        <v>8</v>
      </c>
      <c r="H250" s="3" t="s">
        <v>907</v>
      </c>
      <c r="I250" s="3" t="s">
        <v>41</v>
      </c>
      <c r="J250" s="3" t="s">
        <v>18</v>
      </c>
      <c r="K250" s="3" t="s">
        <v>19</v>
      </c>
      <c r="L250">
        <v>1982</v>
      </c>
      <c r="M250" s="3" t="s">
        <v>908</v>
      </c>
      <c r="N250">
        <v>23784</v>
      </c>
      <c r="O250">
        <v>2973</v>
      </c>
      <c r="P250">
        <v>5</v>
      </c>
      <c r="Q250" s="3" t="s">
        <v>913</v>
      </c>
      <c r="R250">
        <v>1</v>
      </c>
      <c r="S250">
        <v>0</v>
      </c>
      <c r="T250" s="3" t="s">
        <v>909</v>
      </c>
      <c r="U250">
        <v>7</v>
      </c>
      <c r="V250" s="3" t="s">
        <v>917</v>
      </c>
    </row>
    <row r="251" spans="1:22" x14ac:dyDescent="0.3">
      <c r="A251">
        <v>250</v>
      </c>
      <c r="B251" s="3" t="s">
        <v>33</v>
      </c>
      <c r="C251" s="3" t="s">
        <v>414</v>
      </c>
      <c r="D251" s="3" t="s">
        <v>1162</v>
      </c>
      <c r="E251" s="3" t="s">
        <v>32</v>
      </c>
      <c r="F251" s="1">
        <v>44162</v>
      </c>
      <c r="G251">
        <v>5</v>
      </c>
      <c r="H251" s="3" t="s">
        <v>912</v>
      </c>
      <c r="I251" s="3" t="s">
        <v>41</v>
      </c>
      <c r="J251" s="3" t="s">
        <v>18</v>
      </c>
      <c r="K251" s="3" t="s">
        <v>60</v>
      </c>
      <c r="L251">
        <v>2543</v>
      </c>
      <c r="M251" s="3" t="s">
        <v>913</v>
      </c>
      <c r="N251">
        <v>30516</v>
      </c>
      <c r="O251">
        <v>6103.2</v>
      </c>
      <c r="P251">
        <v>5</v>
      </c>
      <c r="Q251" s="3" t="s">
        <v>913</v>
      </c>
      <c r="R251">
        <v>0</v>
      </c>
      <c r="S251">
        <v>0</v>
      </c>
      <c r="T251" s="3" t="s">
        <v>916</v>
      </c>
      <c r="U251">
        <v>86</v>
      </c>
      <c r="V251" s="3" t="s">
        <v>910</v>
      </c>
    </row>
    <row r="252" spans="1:22" x14ac:dyDescent="0.3">
      <c r="A252">
        <v>251</v>
      </c>
      <c r="B252" s="3" t="s">
        <v>415</v>
      </c>
      <c r="C252" s="3" t="s">
        <v>416</v>
      </c>
      <c r="D252" s="3" t="s">
        <v>1163</v>
      </c>
      <c r="E252" s="3" t="s">
        <v>307</v>
      </c>
      <c r="F252" s="1">
        <v>43869</v>
      </c>
      <c r="G252">
        <v>6</v>
      </c>
      <c r="H252" s="3" t="s">
        <v>912</v>
      </c>
      <c r="I252" s="3" t="s">
        <v>28</v>
      </c>
      <c r="J252" s="3" t="s">
        <v>18</v>
      </c>
      <c r="K252" s="3" t="s">
        <v>42</v>
      </c>
      <c r="L252">
        <v>2787</v>
      </c>
      <c r="M252" s="3" t="s">
        <v>913</v>
      </c>
      <c r="N252">
        <v>33444</v>
      </c>
      <c r="O252">
        <v>5574</v>
      </c>
      <c r="P252">
        <v>3</v>
      </c>
      <c r="Q252" s="3" t="s">
        <v>908</v>
      </c>
      <c r="R252">
        <v>3</v>
      </c>
      <c r="S252">
        <v>0</v>
      </c>
      <c r="T252" s="3" t="s">
        <v>909</v>
      </c>
      <c r="U252">
        <v>12</v>
      </c>
      <c r="V252" s="3" t="s">
        <v>910</v>
      </c>
    </row>
    <row r="253" spans="1:22" x14ac:dyDescent="0.3">
      <c r="A253">
        <v>252</v>
      </c>
      <c r="B253" s="3" t="s">
        <v>146</v>
      </c>
      <c r="C253" s="3" t="s">
        <v>417</v>
      </c>
      <c r="D253" s="3" t="s">
        <v>1164</v>
      </c>
      <c r="E253" s="3" t="s">
        <v>32</v>
      </c>
      <c r="F253" s="1">
        <v>43865</v>
      </c>
      <c r="G253">
        <v>6</v>
      </c>
      <c r="H253" s="3" t="s">
        <v>912</v>
      </c>
      <c r="I253" s="3" t="s">
        <v>77</v>
      </c>
      <c r="J253" s="3" t="s">
        <v>18</v>
      </c>
      <c r="K253" s="3" t="s">
        <v>36</v>
      </c>
      <c r="L253">
        <v>1095</v>
      </c>
      <c r="M253" s="3" t="s">
        <v>909</v>
      </c>
      <c r="N253">
        <v>13140</v>
      </c>
      <c r="O253">
        <v>2190</v>
      </c>
      <c r="P253">
        <v>5</v>
      </c>
      <c r="Q253" s="3" t="s">
        <v>913</v>
      </c>
      <c r="R253">
        <v>6</v>
      </c>
      <c r="S253">
        <v>0</v>
      </c>
      <c r="T253" s="3" t="s">
        <v>908</v>
      </c>
      <c r="U253">
        <v>5</v>
      </c>
      <c r="V253" s="3" t="s">
        <v>917</v>
      </c>
    </row>
    <row r="254" spans="1:22" x14ac:dyDescent="0.3">
      <c r="A254">
        <v>253</v>
      </c>
      <c r="B254" s="3" t="s">
        <v>37</v>
      </c>
      <c r="C254" s="3" t="s">
        <v>418</v>
      </c>
      <c r="D254" s="3" t="s">
        <v>1165</v>
      </c>
      <c r="E254" s="3" t="s">
        <v>307</v>
      </c>
      <c r="F254" s="1">
        <v>43936</v>
      </c>
      <c r="G254">
        <v>6</v>
      </c>
      <c r="H254" s="3" t="s">
        <v>912</v>
      </c>
      <c r="I254" s="3" t="s">
        <v>28</v>
      </c>
      <c r="J254" s="3" t="s">
        <v>22</v>
      </c>
      <c r="K254" s="3" t="s">
        <v>42</v>
      </c>
      <c r="L254">
        <v>2009</v>
      </c>
      <c r="M254" s="3" t="s">
        <v>908</v>
      </c>
      <c r="N254">
        <v>24108</v>
      </c>
      <c r="O254">
        <v>4018</v>
      </c>
      <c r="P254">
        <v>5</v>
      </c>
      <c r="Q254" s="3" t="s">
        <v>913</v>
      </c>
      <c r="R254">
        <v>0</v>
      </c>
      <c r="S254">
        <v>0</v>
      </c>
      <c r="T254" s="3" t="s">
        <v>916</v>
      </c>
      <c r="U254">
        <v>0</v>
      </c>
      <c r="V254" s="3" t="s">
        <v>955</v>
      </c>
    </row>
    <row r="255" spans="1:22" x14ac:dyDescent="0.3">
      <c r="A255">
        <v>254</v>
      </c>
      <c r="B255" s="3" t="s">
        <v>419</v>
      </c>
      <c r="C255" s="3" t="s">
        <v>420</v>
      </c>
      <c r="D255" s="3" t="s">
        <v>1166</v>
      </c>
      <c r="E255" s="3" t="s">
        <v>307</v>
      </c>
      <c r="F255" s="1">
        <v>42557</v>
      </c>
      <c r="G255">
        <v>10</v>
      </c>
      <c r="H255" s="3" t="s">
        <v>920</v>
      </c>
      <c r="I255" s="3" t="s">
        <v>93</v>
      </c>
      <c r="J255" s="3" t="s">
        <v>18</v>
      </c>
      <c r="K255" s="3" t="s">
        <v>36</v>
      </c>
      <c r="L255">
        <v>1837</v>
      </c>
      <c r="M255" s="3" t="s">
        <v>908</v>
      </c>
      <c r="N255">
        <v>22044</v>
      </c>
      <c r="O255">
        <v>2204.4</v>
      </c>
      <c r="P255">
        <v>3</v>
      </c>
      <c r="Q255" s="3" t="s">
        <v>908</v>
      </c>
      <c r="R255">
        <v>1</v>
      </c>
      <c r="S255">
        <v>0</v>
      </c>
      <c r="T255" s="3" t="s">
        <v>909</v>
      </c>
      <c r="U255">
        <v>2</v>
      </c>
      <c r="V255" s="3" t="s">
        <v>917</v>
      </c>
    </row>
    <row r="256" spans="1:22" x14ac:dyDescent="0.3">
      <c r="A256">
        <v>255</v>
      </c>
      <c r="B256" s="3" t="s">
        <v>33</v>
      </c>
      <c r="C256" s="3" t="s">
        <v>421</v>
      </c>
      <c r="D256" s="3" t="s">
        <v>1167</v>
      </c>
      <c r="E256" s="3" t="s">
        <v>32</v>
      </c>
      <c r="F256" s="1">
        <v>43729</v>
      </c>
      <c r="G256">
        <v>6</v>
      </c>
      <c r="H256" s="3" t="s">
        <v>912</v>
      </c>
      <c r="I256" s="3" t="s">
        <v>76</v>
      </c>
      <c r="J256" s="3" t="s">
        <v>22</v>
      </c>
      <c r="K256" s="3" t="s">
        <v>42</v>
      </c>
      <c r="L256">
        <v>3109</v>
      </c>
      <c r="M256" s="3" t="s">
        <v>913</v>
      </c>
      <c r="N256">
        <v>37308</v>
      </c>
      <c r="O256">
        <v>6218</v>
      </c>
      <c r="P256">
        <v>3</v>
      </c>
      <c r="Q256" s="3" t="s">
        <v>908</v>
      </c>
      <c r="R256">
        <v>1</v>
      </c>
      <c r="S256">
        <v>0</v>
      </c>
      <c r="T256" s="3" t="s">
        <v>909</v>
      </c>
      <c r="U256">
        <v>9</v>
      </c>
      <c r="V256" s="3" t="s">
        <v>917</v>
      </c>
    </row>
    <row r="257" spans="1:22" x14ac:dyDescent="0.3">
      <c r="A257">
        <v>256</v>
      </c>
      <c r="B257" s="3" t="s">
        <v>375</v>
      </c>
      <c r="C257" s="3" t="s">
        <v>301</v>
      </c>
      <c r="D257" s="3" t="s">
        <v>1168</v>
      </c>
      <c r="E257" s="3" t="s">
        <v>307</v>
      </c>
      <c r="F257" s="1">
        <v>43982</v>
      </c>
      <c r="G257">
        <v>6</v>
      </c>
      <c r="H257" s="3" t="s">
        <v>912</v>
      </c>
      <c r="I257" s="3" t="s">
        <v>28</v>
      </c>
      <c r="J257" s="3" t="s">
        <v>18</v>
      </c>
      <c r="K257" s="3" t="s">
        <v>42</v>
      </c>
      <c r="L257">
        <v>2832</v>
      </c>
      <c r="M257" s="3" t="s">
        <v>913</v>
      </c>
      <c r="N257">
        <v>33984</v>
      </c>
      <c r="O257">
        <v>5664</v>
      </c>
      <c r="P257">
        <v>5</v>
      </c>
      <c r="Q257" s="3" t="s">
        <v>913</v>
      </c>
      <c r="R257">
        <v>1</v>
      </c>
      <c r="S257">
        <v>0</v>
      </c>
      <c r="T257" s="3" t="s">
        <v>909</v>
      </c>
      <c r="U257">
        <v>5</v>
      </c>
      <c r="V257" s="3" t="s">
        <v>917</v>
      </c>
    </row>
    <row r="258" spans="1:22" x14ac:dyDescent="0.3">
      <c r="A258">
        <v>257</v>
      </c>
      <c r="B258" s="3" t="s">
        <v>422</v>
      </c>
      <c r="C258" s="3" t="s">
        <v>423</v>
      </c>
      <c r="D258" s="3" t="s">
        <v>1169</v>
      </c>
      <c r="E258" s="3" t="s">
        <v>32</v>
      </c>
      <c r="F258" s="1">
        <v>43466</v>
      </c>
      <c r="G258">
        <v>7</v>
      </c>
      <c r="H258" s="3" t="s">
        <v>907</v>
      </c>
      <c r="I258" s="3" t="s">
        <v>28</v>
      </c>
      <c r="J258" s="3" t="s">
        <v>18</v>
      </c>
      <c r="K258" s="3" t="s">
        <v>42</v>
      </c>
      <c r="L258">
        <v>2940</v>
      </c>
      <c r="M258" s="3" t="s">
        <v>913</v>
      </c>
      <c r="N258">
        <v>35280</v>
      </c>
      <c r="O258">
        <v>5040</v>
      </c>
      <c r="P258">
        <v>1</v>
      </c>
      <c r="Q258" s="3" t="s">
        <v>909</v>
      </c>
      <c r="R258">
        <v>6</v>
      </c>
      <c r="S258">
        <v>4</v>
      </c>
      <c r="T258" s="3" t="s">
        <v>913</v>
      </c>
      <c r="U258">
        <v>7</v>
      </c>
      <c r="V258" s="3" t="s">
        <v>917</v>
      </c>
    </row>
    <row r="259" spans="1:22" x14ac:dyDescent="0.3">
      <c r="A259">
        <v>258</v>
      </c>
      <c r="B259" s="3" t="s">
        <v>30</v>
      </c>
      <c r="C259" s="3" t="s">
        <v>424</v>
      </c>
      <c r="D259" s="3" t="s">
        <v>1170</v>
      </c>
      <c r="E259" s="3" t="s">
        <v>32</v>
      </c>
      <c r="F259" s="1">
        <v>43560</v>
      </c>
      <c r="G259">
        <v>7</v>
      </c>
      <c r="H259" s="3" t="s">
        <v>907</v>
      </c>
      <c r="I259" s="3" t="s">
        <v>35</v>
      </c>
      <c r="J259" s="3" t="s">
        <v>48</v>
      </c>
      <c r="K259" s="3" t="s">
        <v>36</v>
      </c>
      <c r="L259">
        <v>983</v>
      </c>
      <c r="M259" s="3" t="s">
        <v>909</v>
      </c>
      <c r="N259">
        <v>11796</v>
      </c>
      <c r="O259">
        <v>1685.1428571428571</v>
      </c>
      <c r="P259">
        <v>5</v>
      </c>
      <c r="Q259" s="3" t="s">
        <v>913</v>
      </c>
      <c r="R259">
        <v>0</v>
      </c>
      <c r="S259">
        <v>0</v>
      </c>
      <c r="T259" s="3" t="s">
        <v>916</v>
      </c>
      <c r="U259">
        <v>13</v>
      </c>
      <c r="V259" s="3" t="s">
        <v>910</v>
      </c>
    </row>
    <row r="260" spans="1:22" x14ac:dyDescent="0.3">
      <c r="A260">
        <v>259</v>
      </c>
      <c r="B260" s="3" t="s">
        <v>170</v>
      </c>
      <c r="C260" s="3" t="s">
        <v>425</v>
      </c>
      <c r="D260" s="3" t="s">
        <v>1171</v>
      </c>
      <c r="E260" s="3" t="s">
        <v>32</v>
      </c>
      <c r="F260" s="1">
        <v>43941</v>
      </c>
      <c r="G260">
        <v>6</v>
      </c>
      <c r="H260" s="3" t="s">
        <v>912</v>
      </c>
      <c r="I260" s="3" t="s">
        <v>50</v>
      </c>
      <c r="J260" s="3" t="s">
        <v>18</v>
      </c>
      <c r="K260" s="3" t="s">
        <v>36</v>
      </c>
      <c r="L260">
        <v>1223</v>
      </c>
      <c r="M260" s="3" t="s">
        <v>909</v>
      </c>
      <c r="N260">
        <v>14676</v>
      </c>
      <c r="O260">
        <v>2446</v>
      </c>
      <c r="P260">
        <v>1</v>
      </c>
      <c r="Q260" s="3" t="s">
        <v>909</v>
      </c>
      <c r="R260">
        <v>6</v>
      </c>
      <c r="S260">
        <v>0</v>
      </c>
      <c r="T260" s="3" t="s">
        <v>908</v>
      </c>
      <c r="U260">
        <v>10</v>
      </c>
      <c r="V260" s="3" t="s">
        <v>917</v>
      </c>
    </row>
    <row r="261" spans="1:22" x14ac:dyDescent="0.3">
      <c r="A261">
        <v>260</v>
      </c>
      <c r="B261" s="3" t="s">
        <v>426</v>
      </c>
      <c r="C261" s="3" t="s">
        <v>427</v>
      </c>
      <c r="D261" s="3" t="s">
        <v>1172</v>
      </c>
      <c r="E261" s="3" t="s">
        <v>307</v>
      </c>
      <c r="F261" s="1">
        <v>44025</v>
      </c>
      <c r="G261">
        <v>6</v>
      </c>
      <c r="H261" s="3" t="s">
        <v>912</v>
      </c>
      <c r="I261" s="3" t="s">
        <v>144</v>
      </c>
      <c r="J261" s="3" t="s">
        <v>18</v>
      </c>
      <c r="K261" s="3" t="s">
        <v>36</v>
      </c>
      <c r="L261">
        <v>833</v>
      </c>
      <c r="M261" s="3" t="s">
        <v>909</v>
      </c>
      <c r="N261">
        <v>9996</v>
      </c>
      <c r="O261">
        <v>1666</v>
      </c>
      <c r="P261">
        <v>1</v>
      </c>
      <c r="Q261" s="3" t="s">
        <v>909</v>
      </c>
      <c r="R261">
        <v>1</v>
      </c>
      <c r="S261">
        <v>0</v>
      </c>
      <c r="T261" s="3" t="s">
        <v>909</v>
      </c>
      <c r="U261">
        <v>5</v>
      </c>
      <c r="V261" s="3" t="s">
        <v>917</v>
      </c>
    </row>
    <row r="262" spans="1:22" x14ac:dyDescent="0.3">
      <c r="A262">
        <v>261</v>
      </c>
      <c r="B262" s="3" t="s">
        <v>428</v>
      </c>
      <c r="C262" s="3" t="s">
        <v>429</v>
      </c>
      <c r="D262" s="3" t="s">
        <v>1173</v>
      </c>
      <c r="E262" s="3" t="s">
        <v>307</v>
      </c>
      <c r="F262" s="1">
        <v>43230</v>
      </c>
      <c r="G262">
        <v>8</v>
      </c>
      <c r="H262" s="3" t="s">
        <v>907</v>
      </c>
      <c r="I262" s="3" t="s">
        <v>17</v>
      </c>
      <c r="J262" s="3" t="s">
        <v>18</v>
      </c>
      <c r="K262" s="3" t="s">
        <v>19</v>
      </c>
      <c r="L262">
        <v>2074</v>
      </c>
      <c r="M262" s="3" t="s">
        <v>908</v>
      </c>
      <c r="N262">
        <v>24888</v>
      </c>
      <c r="O262">
        <v>3111</v>
      </c>
      <c r="P262">
        <v>3</v>
      </c>
      <c r="Q262" s="3" t="s">
        <v>908</v>
      </c>
      <c r="R262">
        <v>1</v>
      </c>
      <c r="S262">
        <v>0</v>
      </c>
      <c r="T262" s="3" t="s">
        <v>909</v>
      </c>
      <c r="U262">
        <v>2</v>
      </c>
      <c r="V262" s="3" t="s">
        <v>917</v>
      </c>
    </row>
    <row r="263" spans="1:22" x14ac:dyDescent="0.3">
      <c r="A263">
        <v>262</v>
      </c>
      <c r="B263" s="3" t="s">
        <v>430</v>
      </c>
      <c r="C263" s="3" t="s">
        <v>431</v>
      </c>
      <c r="D263" s="3" t="s">
        <v>1174</v>
      </c>
      <c r="E263" s="3" t="s">
        <v>32</v>
      </c>
      <c r="F263" s="1">
        <v>43171</v>
      </c>
      <c r="G263">
        <v>8</v>
      </c>
      <c r="H263" s="3" t="s">
        <v>907</v>
      </c>
      <c r="I263" s="3" t="s">
        <v>17</v>
      </c>
      <c r="J263" s="3" t="s">
        <v>29</v>
      </c>
      <c r="K263" s="3" t="s">
        <v>60</v>
      </c>
      <c r="L263">
        <v>2811</v>
      </c>
      <c r="M263" s="3" t="s">
        <v>913</v>
      </c>
      <c r="N263">
        <v>33732</v>
      </c>
      <c r="O263">
        <v>4216.5</v>
      </c>
      <c r="P263">
        <v>3</v>
      </c>
      <c r="Q263" s="3" t="s">
        <v>908</v>
      </c>
      <c r="R263">
        <v>0</v>
      </c>
      <c r="S263">
        <v>1</v>
      </c>
      <c r="T263" s="3" t="s">
        <v>909</v>
      </c>
      <c r="U263">
        <v>9</v>
      </c>
      <c r="V263" s="3" t="s">
        <v>917</v>
      </c>
    </row>
    <row r="264" spans="1:22" x14ac:dyDescent="0.3">
      <c r="A264">
        <v>263</v>
      </c>
      <c r="B264" s="3" t="s">
        <v>33</v>
      </c>
      <c r="C264" s="3" t="s">
        <v>432</v>
      </c>
      <c r="D264" s="3" t="s">
        <v>1175</v>
      </c>
      <c r="E264" s="3" t="s">
        <v>32</v>
      </c>
      <c r="F264" s="1">
        <v>43731</v>
      </c>
      <c r="G264">
        <v>6</v>
      </c>
      <c r="H264" s="3" t="s">
        <v>912</v>
      </c>
      <c r="I264" s="3" t="s">
        <v>17</v>
      </c>
      <c r="J264" s="3" t="s">
        <v>22</v>
      </c>
      <c r="K264" s="3" t="s">
        <v>36</v>
      </c>
      <c r="L264">
        <v>1436</v>
      </c>
      <c r="M264" s="3" t="s">
        <v>909</v>
      </c>
      <c r="N264">
        <v>17232</v>
      </c>
      <c r="O264">
        <v>2872</v>
      </c>
      <c r="P264">
        <v>4.5</v>
      </c>
      <c r="Q264" s="3" t="s">
        <v>913</v>
      </c>
      <c r="R264">
        <v>3</v>
      </c>
      <c r="S264">
        <v>4</v>
      </c>
      <c r="T264" s="3" t="s">
        <v>913</v>
      </c>
      <c r="U264">
        <v>4</v>
      </c>
      <c r="V264" s="3" t="s">
        <v>917</v>
      </c>
    </row>
    <row r="265" spans="1:22" x14ac:dyDescent="0.3">
      <c r="A265">
        <v>264</v>
      </c>
      <c r="B265" s="3" t="s">
        <v>433</v>
      </c>
      <c r="C265" s="3" t="s">
        <v>434</v>
      </c>
      <c r="D265" s="3" t="s">
        <v>1176</v>
      </c>
      <c r="E265" s="3" t="s">
        <v>307</v>
      </c>
      <c r="F265" s="1">
        <v>43647</v>
      </c>
      <c r="G265">
        <v>7</v>
      </c>
      <c r="H265" s="3" t="s">
        <v>907</v>
      </c>
      <c r="I265" s="3" t="s">
        <v>28</v>
      </c>
      <c r="J265" s="3" t="s">
        <v>18</v>
      </c>
      <c r="K265" s="3" t="s">
        <v>36</v>
      </c>
      <c r="L265">
        <v>1041</v>
      </c>
      <c r="M265" s="3" t="s">
        <v>909</v>
      </c>
      <c r="N265">
        <v>12492</v>
      </c>
      <c r="O265">
        <v>1784.5714285714287</v>
      </c>
      <c r="P265">
        <v>2</v>
      </c>
      <c r="Q265" s="3" t="s">
        <v>909</v>
      </c>
      <c r="R265">
        <v>2</v>
      </c>
      <c r="S265">
        <v>0</v>
      </c>
      <c r="T265" s="3" t="s">
        <v>909</v>
      </c>
      <c r="U265">
        <v>5</v>
      </c>
      <c r="V265" s="3" t="s">
        <v>917</v>
      </c>
    </row>
    <row r="266" spans="1:22" x14ac:dyDescent="0.3">
      <c r="A266">
        <v>265</v>
      </c>
      <c r="B266" s="3" t="s">
        <v>435</v>
      </c>
      <c r="C266" s="3" t="s">
        <v>436</v>
      </c>
      <c r="D266" s="3" t="s">
        <v>1177</v>
      </c>
      <c r="E266" s="3" t="s">
        <v>307</v>
      </c>
      <c r="F266" s="1">
        <v>43266</v>
      </c>
      <c r="G266">
        <v>8</v>
      </c>
      <c r="H266" s="3" t="s">
        <v>907</v>
      </c>
      <c r="I266" s="3" t="s">
        <v>17</v>
      </c>
      <c r="J266" s="3" t="s">
        <v>18</v>
      </c>
      <c r="K266" s="3" t="s">
        <v>42</v>
      </c>
      <c r="L266">
        <v>2231</v>
      </c>
      <c r="M266" s="3" t="s">
        <v>908</v>
      </c>
      <c r="N266">
        <v>26772</v>
      </c>
      <c r="O266">
        <v>3346.5</v>
      </c>
      <c r="P266">
        <v>3</v>
      </c>
      <c r="Q266" s="3" t="s">
        <v>908</v>
      </c>
      <c r="R266">
        <v>0</v>
      </c>
      <c r="S266">
        <v>0</v>
      </c>
      <c r="T266" s="3" t="s">
        <v>916</v>
      </c>
      <c r="U266">
        <v>87</v>
      </c>
      <c r="V266" s="3" t="s">
        <v>910</v>
      </c>
    </row>
    <row r="267" spans="1:22" x14ac:dyDescent="0.3">
      <c r="A267">
        <v>266</v>
      </c>
      <c r="B267" s="3" t="s">
        <v>437</v>
      </c>
      <c r="C267" s="3" t="s">
        <v>438</v>
      </c>
      <c r="D267" s="3" t="s">
        <v>1178</v>
      </c>
      <c r="E267" s="3" t="s">
        <v>32</v>
      </c>
      <c r="F267" s="1">
        <v>43512</v>
      </c>
      <c r="G267">
        <v>7</v>
      </c>
      <c r="H267" s="3" t="s">
        <v>907</v>
      </c>
      <c r="I267" s="3" t="s">
        <v>58</v>
      </c>
      <c r="J267" s="3" t="s">
        <v>29</v>
      </c>
      <c r="K267" s="3" t="s">
        <v>19</v>
      </c>
      <c r="L267">
        <v>1036</v>
      </c>
      <c r="M267" s="3" t="s">
        <v>909</v>
      </c>
      <c r="N267">
        <v>12432</v>
      </c>
      <c r="O267">
        <v>1776</v>
      </c>
      <c r="P267">
        <v>3</v>
      </c>
      <c r="Q267" s="3" t="s">
        <v>908</v>
      </c>
      <c r="R267">
        <v>0</v>
      </c>
      <c r="S267">
        <v>0</v>
      </c>
      <c r="T267" s="3" t="s">
        <v>916</v>
      </c>
      <c r="U267">
        <v>1</v>
      </c>
      <c r="V267" s="3" t="s">
        <v>917</v>
      </c>
    </row>
    <row r="268" spans="1:22" x14ac:dyDescent="0.3">
      <c r="A268">
        <v>267</v>
      </c>
      <c r="B268" s="3" t="s">
        <v>439</v>
      </c>
      <c r="C268" s="3" t="s">
        <v>440</v>
      </c>
      <c r="D268" s="3" t="s">
        <v>1179</v>
      </c>
      <c r="E268" s="3" t="s">
        <v>307</v>
      </c>
      <c r="F268" s="1">
        <v>44119</v>
      </c>
      <c r="G268">
        <v>5</v>
      </c>
      <c r="H268" s="3" t="s">
        <v>912</v>
      </c>
      <c r="I268" s="3" t="s">
        <v>17</v>
      </c>
      <c r="J268" s="3" t="s">
        <v>18</v>
      </c>
      <c r="K268" s="3" t="s">
        <v>36</v>
      </c>
      <c r="L268">
        <v>2143</v>
      </c>
      <c r="M268" s="3" t="s">
        <v>908</v>
      </c>
      <c r="N268">
        <v>25716</v>
      </c>
      <c r="O268">
        <v>5143.2</v>
      </c>
      <c r="P268">
        <v>5</v>
      </c>
      <c r="Q268" s="3" t="s">
        <v>913</v>
      </c>
      <c r="R268">
        <v>0</v>
      </c>
      <c r="S268">
        <v>0</v>
      </c>
      <c r="T268" s="3" t="s">
        <v>916</v>
      </c>
      <c r="U268">
        <v>45</v>
      </c>
      <c r="V268" s="3" t="s">
        <v>910</v>
      </c>
    </row>
    <row r="269" spans="1:22" x14ac:dyDescent="0.3">
      <c r="A269">
        <v>268</v>
      </c>
      <c r="B269" s="3" t="s">
        <v>37</v>
      </c>
      <c r="C269" s="3" t="s">
        <v>441</v>
      </c>
      <c r="D269" s="3" t="s">
        <v>1180</v>
      </c>
      <c r="E269" s="3" t="s">
        <v>307</v>
      </c>
      <c r="F269" s="1">
        <v>43837</v>
      </c>
      <c r="G269">
        <v>6</v>
      </c>
      <c r="H269" s="3" t="s">
        <v>912</v>
      </c>
      <c r="I269" s="3" t="s">
        <v>77</v>
      </c>
      <c r="J269" s="3" t="s">
        <v>29</v>
      </c>
      <c r="K269" s="3" t="s">
        <v>60</v>
      </c>
      <c r="L269">
        <v>967</v>
      </c>
      <c r="M269" s="3" t="s">
        <v>909</v>
      </c>
      <c r="N269">
        <v>11604</v>
      </c>
      <c r="O269">
        <v>1934</v>
      </c>
      <c r="P269">
        <v>5</v>
      </c>
      <c r="Q269" s="3" t="s">
        <v>913</v>
      </c>
      <c r="R269">
        <v>0</v>
      </c>
      <c r="S269">
        <v>4</v>
      </c>
      <c r="T269" s="3" t="s">
        <v>908</v>
      </c>
      <c r="U269">
        <v>9</v>
      </c>
      <c r="V269" s="3" t="s">
        <v>917</v>
      </c>
    </row>
    <row r="270" spans="1:22" x14ac:dyDescent="0.3">
      <c r="A270">
        <v>269</v>
      </c>
      <c r="B270" s="3" t="s">
        <v>246</v>
      </c>
      <c r="C270" s="3" t="s">
        <v>442</v>
      </c>
      <c r="D270" s="3" t="s">
        <v>1181</v>
      </c>
      <c r="E270" s="3" t="s">
        <v>32</v>
      </c>
      <c r="F270" s="1">
        <v>44028</v>
      </c>
      <c r="G270">
        <v>6</v>
      </c>
      <c r="H270" s="3" t="s">
        <v>912</v>
      </c>
      <c r="I270" s="3" t="s">
        <v>35</v>
      </c>
      <c r="J270" s="3" t="s">
        <v>18</v>
      </c>
      <c r="K270" s="3" t="s">
        <v>60</v>
      </c>
      <c r="L270">
        <v>2510</v>
      </c>
      <c r="M270" s="3" t="s">
        <v>913</v>
      </c>
      <c r="N270">
        <v>30120</v>
      </c>
      <c r="O270">
        <v>5020</v>
      </c>
      <c r="P270">
        <v>1</v>
      </c>
      <c r="Q270" s="3" t="s">
        <v>909</v>
      </c>
      <c r="R270">
        <v>0</v>
      </c>
      <c r="S270">
        <v>0</v>
      </c>
      <c r="T270" s="3" t="s">
        <v>916</v>
      </c>
      <c r="U270">
        <v>3</v>
      </c>
      <c r="V270" s="3" t="s">
        <v>917</v>
      </c>
    </row>
    <row r="271" spans="1:22" x14ac:dyDescent="0.3">
      <c r="A271">
        <v>270</v>
      </c>
      <c r="B271" s="3" t="s">
        <v>443</v>
      </c>
      <c r="C271" s="3" t="s">
        <v>444</v>
      </c>
      <c r="D271" s="3" t="s">
        <v>1182</v>
      </c>
      <c r="E271" s="3" t="s">
        <v>307</v>
      </c>
      <c r="F271" s="1">
        <v>43555</v>
      </c>
      <c r="G271">
        <v>7</v>
      </c>
      <c r="H271" s="3" t="s">
        <v>907</v>
      </c>
      <c r="I271" s="3" t="s">
        <v>58</v>
      </c>
      <c r="J271" s="3" t="s">
        <v>18</v>
      </c>
      <c r="K271" s="3" t="s">
        <v>42</v>
      </c>
      <c r="L271">
        <v>3364</v>
      </c>
      <c r="M271" s="3" t="s">
        <v>913</v>
      </c>
      <c r="N271">
        <v>40368</v>
      </c>
      <c r="O271">
        <v>5766.8571428571431</v>
      </c>
      <c r="P271">
        <v>2</v>
      </c>
      <c r="Q271" s="3" t="s">
        <v>909</v>
      </c>
      <c r="R271">
        <v>0</v>
      </c>
      <c r="S271">
        <v>0</v>
      </c>
      <c r="T271" s="3" t="s">
        <v>916</v>
      </c>
      <c r="U271">
        <v>1</v>
      </c>
      <c r="V271" s="3" t="s">
        <v>917</v>
      </c>
    </row>
    <row r="272" spans="1:22" x14ac:dyDescent="0.3">
      <c r="A272">
        <v>271</v>
      </c>
      <c r="B272" s="3" t="s">
        <v>89</v>
      </c>
      <c r="C272" s="3" t="s">
        <v>445</v>
      </c>
      <c r="D272" s="3" t="s">
        <v>1183</v>
      </c>
      <c r="E272" s="3" t="s">
        <v>307</v>
      </c>
      <c r="F272" s="1">
        <v>43471</v>
      </c>
      <c r="G272">
        <v>7</v>
      </c>
      <c r="H272" s="3" t="s">
        <v>907</v>
      </c>
      <c r="I272" s="3" t="s">
        <v>77</v>
      </c>
      <c r="J272" s="3" t="s">
        <v>18</v>
      </c>
      <c r="K272" s="3" t="s">
        <v>19</v>
      </c>
      <c r="L272">
        <v>3420</v>
      </c>
      <c r="M272" s="3" t="s">
        <v>913</v>
      </c>
      <c r="N272">
        <v>41040</v>
      </c>
      <c r="O272">
        <v>5862.8571428571431</v>
      </c>
      <c r="P272">
        <v>5</v>
      </c>
      <c r="Q272" s="3" t="s">
        <v>913</v>
      </c>
      <c r="R272">
        <v>6</v>
      </c>
      <c r="S272">
        <v>0</v>
      </c>
      <c r="T272" s="3" t="s">
        <v>908</v>
      </c>
      <c r="U272">
        <v>10</v>
      </c>
      <c r="V272" s="3" t="s">
        <v>917</v>
      </c>
    </row>
    <row r="273" spans="1:22" x14ac:dyDescent="0.3">
      <c r="A273">
        <v>272</v>
      </c>
      <c r="B273" s="3" t="s">
        <v>69</v>
      </c>
      <c r="C273" s="3" t="s">
        <v>446</v>
      </c>
      <c r="D273" s="3" t="s">
        <v>1184</v>
      </c>
      <c r="E273" s="3" t="s">
        <v>32</v>
      </c>
      <c r="F273" s="1">
        <v>43722</v>
      </c>
      <c r="G273">
        <v>6</v>
      </c>
      <c r="H273" s="3" t="s">
        <v>912</v>
      </c>
      <c r="I273" s="3" t="s">
        <v>118</v>
      </c>
      <c r="J273" s="3" t="s">
        <v>29</v>
      </c>
      <c r="K273" s="3" t="s">
        <v>60</v>
      </c>
      <c r="L273">
        <v>2229</v>
      </c>
      <c r="M273" s="3" t="s">
        <v>908</v>
      </c>
      <c r="N273">
        <v>26748</v>
      </c>
      <c r="O273">
        <v>4458</v>
      </c>
      <c r="P273">
        <v>3</v>
      </c>
      <c r="Q273" s="3" t="s">
        <v>908</v>
      </c>
      <c r="R273">
        <v>3</v>
      </c>
      <c r="S273">
        <v>0</v>
      </c>
      <c r="T273" s="3" t="s">
        <v>909</v>
      </c>
      <c r="U273">
        <v>1</v>
      </c>
      <c r="V273" s="3" t="s">
        <v>917</v>
      </c>
    </row>
    <row r="274" spans="1:22" x14ac:dyDescent="0.3">
      <c r="A274">
        <v>273</v>
      </c>
      <c r="B274" s="3" t="s">
        <v>302</v>
      </c>
      <c r="C274" s="3" t="s">
        <v>447</v>
      </c>
      <c r="D274" s="3" t="s">
        <v>1185</v>
      </c>
      <c r="E274" s="3" t="s">
        <v>32</v>
      </c>
      <c r="F274" s="1">
        <v>43978</v>
      </c>
      <c r="G274">
        <v>6</v>
      </c>
      <c r="H274" s="3" t="s">
        <v>912</v>
      </c>
      <c r="I274" s="3" t="s">
        <v>118</v>
      </c>
      <c r="J274" s="3" t="s">
        <v>18</v>
      </c>
      <c r="K274" s="3" t="s">
        <v>19</v>
      </c>
      <c r="L274">
        <v>1910</v>
      </c>
      <c r="M274" s="3" t="s">
        <v>908</v>
      </c>
      <c r="N274">
        <v>22920</v>
      </c>
      <c r="O274">
        <v>3820</v>
      </c>
      <c r="P274">
        <v>5</v>
      </c>
      <c r="Q274" s="3" t="s">
        <v>913</v>
      </c>
      <c r="R274">
        <v>2</v>
      </c>
      <c r="S274">
        <v>0</v>
      </c>
      <c r="T274" s="3" t="s">
        <v>909</v>
      </c>
      <c r="U274">
        <v>5</v>
      </c>
      <c r="V274" s="3" t="s">
        <v>917</v>
      </c>
    </row>
    <row r="275" spans="1:22" x14ac:dyDescent="0.3">
      <c r="A275">
        <v>274</v>
      </c>
      <c r="B275" s="3" t="s">
        <v>375</v>
      </c>
      <c r="C275" s="3" t="s">
        <v>216</v>
      </c>
      <c r="D275" s="3" t="s">
        <v>1186</v>
      </c>
      <c r="E275" s="3" t="s">
        <v>307</v>
      </c>
      <c r="F275" s="1">
        <v>43684</v>
      </c>
      <c r="G275">
        <v>7</v>
      </c>
      <c r="H275" s="3" t="s">
        <v>907</v>
      </c>
      <c r="I275" s="3" t="s">
        <v>76</v>
      </c>
      <c r="J275" s="3" t="s">
        <v>18</v>
      </c>
      <c r="K275" s="3" t="s">
        <v>36</v>
      </c>
      <c r="L275">
        <v>1917</v>
      </c>
      <c r="M275" s="3" t="s">
        <v>908</v>
      </c>
      <c r="N275">
        <v>23004</v>
      </c>
      <c r="O275">
        <v>3286.2857142857142</v>
      </c>
      <c r="P275">
        <v>4.5</v>
      </c>
      <c r="Q275" s="3" t="s">
        <v>913</v>
      </c>
      <c r="R275">
        <v>0</v>
      </c>
      <c r="S275">
        <v>1</v>
      </c>
      <c r="T275" s="3" t="s">
        <v>909</v>
      </c>
      <c r="U275">
        <v>84</v>
      </c>
      <c r="V275" s="3" t="s">
        <v>910</v>
      </c>
    </row>
    <row r="276" spans="1:22" x14ac:dyDescent="0.3">
      <c r="A276">
        <v>275</v>
      </c>
      <c r="B276" s="3" t="s">
        <v>369</v>
      </c>
      <c r="C276" s="3" t="s">
        <v>448</v>
      </c>
      <c r="D276" s="3" t="s">
        <v>1187</v>
      </c>
      <c r="E276" s="3" t="s">
        <v>32</v>
      </c>
      <c r="F276" s="1">
        <v>43454</v>
      </c>
      <c r="G276">
        <v>7</v>
      </c>
      <c r="H276" s="3" t="s">
        <v>907</v>
      </c>
      <c r="I276" s="3" t="s">
        <v>17</v>
      </c>
      <c r="J276" s="3" t="s">
        <v>18</v>
      </c>
      <c r="K276" s="3" t="s">
        <v>36</v>
      </c>
      <c r="L276">
        <v>831</v>
      </c>
      <c r="M276" s="3" t="s">
        <v>909</v>
      </c>
      <c r="N276">
        <v>9972</v>
      </c>
      <c r="O276">
        <v>1424.5714285714287</v>
      </c>
      <c r="P276">
        <v>1</v>
      </c>
      <c r="Q276" s="3" t="s">
        <v>909</v>
      </c>
      <c r="R276">
        <v>1</v>
      </c>
      <c r="S276">
        <v>2</v>
      </c>
      <c r="T276" s="3" t="s">
        <v>909</v>
      </c>
      <c r="U276">
        <v>7</v>
      </c>
      <c r="V276" s="3" t="s">
        <v>917</v>
      </c>
    </row>
    <row r="277" spans="1:22" x14ac:dyDescent="0.3">
      <c r="A277">
        <v>276</v>
      </c>
      <c r="B277" s="3" t="s">
        <v>33</v>
      </c>
      <c r="C277" s="3" t="s">
        <v>449</v>
      </c>
      <c r="D277" s="3" t="s">
        <v>1188</v>
      </c>
      <c r="E277" s="3" t="s">
        <v>32</v>
      </c>
      <c r="F277" s="1">
        <v>43652</v>
      </c>
      <c r="G277">
        <v>7</v>
      </c>
      <c r="H277" s="3" t="s">
        <v>907</v>
      </c>
      <c r="I277" s="3" t="s">
        <v>17</v>
      </c>
      <c r="J277" s="3" t="s">
        <v>29</v>
      </c>
      <c r="K277" s="3" t="s">
        <v>42</v>
      </c>
      <c r="L277">
        <v>2636</v>
      </c>
      <c r="M277" s="3" t="s">
        <v>913</v>
      </c>
      <c r="N277">
        <v>31632</v>
      </c>
      <c r="O277">
        <v>4518.8571428571431</v>
      </c>
      <c r="P277">
        <v>4.5</v>
      </c>
      <c r="Q277" s="3" t="s">
        <v>913</v>
      </c>
      <c r="R277">
        <v>0</v>
      </c>
      <c r="S277">
        <v>2</v>
      </c>
      <c r="T277" s="3" t="s">
        <v>909</v>
      </c>
      <c r="U277">
        <v>4</v>
      </c>
      <c r="V277" s="3" t="s">
        <v>917</v>
      </c>
    </row>
    <row r="278" spans="1:22" x14ac:dyDescent="0.3">
      <c r="A278">
        <v>277</v>
      </c>
      <c r="B278" s="3" t="s">
        <v>82</v>
      </c>
      <c r="C278" s="3" t="s">
        <v>450</v>
      </c>
      <c r="D278" s="3" t="s">
        <v>1189</v>
      </c>
      <c r="E278" s="3" t="s">
        <v>307</v>
      </c>
      <c r="F278" s="1">
        <v>43348</v>
      </c>
      <c r="G278">
        <v>7</v>
      </c>
      <c r="H278" s="3" t="s">
        <v>907</v>
      </c>
      <c r="I278" s="3" t="s">
        <v>41</v>
      </c>
      <c r="J278" s="3" t="s">
        <v>48</v>
      </c>
      <c r="K278" s="3" t="s">
        <v>42</v>
      </c>
      <c r="L278">
        <v>2929</v>
      </c>
      <c r="M278" s="3" t="s">
        <v>913</v>
      </c>
      <c r="N278">
        <v>35148</v>
      </c>
      <c r="O278">
        <v>5021.1428571428569</v>
      </c>
      <c r="P278">
        <v>2</v>
      </c>
      <c r="Q278" s="3" t="s">
        <v>909</v>
      </c>
      <c r="R278">
        <v>0</v>
      </c>
      <c r="S278">
        <v>1</v>
      </c>
      <c r="T278" s="3" t="s">
        <v>909</v>
      </c>
      <c r="U278">
        <v>4</v>
      </c>
      <c r="V278" s="3" t="s">
        <v>917</v>
      </c>
    </row>
    <row r="279" spans="1:22" x14ac:dyDescent="0.3">
      <c r="A279">
        <v>278</v>
      </c>
      <c r="B279" s="3" t="s">
        <v>195</v>
      </c>
      <c r="C279" s="3" t="s">
        <v>451</v>
      </c>
      <c r="D279" s="3" t="s">
        <v>1190</v>
      </c>
      <c r="E279" s="3" t="s">
        <v>32</v>
      </c>
      <c r="F279" s="1">
        <v>43764</v>
      </c>
      <c r="G279">
        <v>6</v>
      </c>
      <c r="H279" s="3" t="s">
        <v>912</v>
      </c>
      <c r="I279" s="3" t="s">
        <v>17</v>
      </c>
      <c r="J279" s="3" t="s">
        <v>18</v>
      </c>
      <c r="K279" s="3" t="s">
        <v>36</v>
      </c>
      <c r="L279">
        <v>1255</v>
      </c>
      <c r="M279" s="3" t="s">
        <v>909</v>
      </c>
      <c r="N279">
        <v>15060</v>
      </c>
      <c r="O279">
        <v>2510</v>
      </c>
      <c r="P279">
        <v>1</v>
      </c>
      <c r="Q279" s="3" t="s">
        <v>909</v>
      </c>
      <c r="R279">
        <v>6</v>
      </c>
      <c r="S279">
        <v>0</v>
      </c>
      <c r="T279" s="3" t="s">
        <v>908</v>
      </c>
      <c r="U279">
        <v>15</v>
      </c>
      <c r="V279" s="3" t="s">
        <v>910</v>
      </c>
    </row>
    <row r="280" spans="1:22" x14ac:dyDescent="0.3">
      <c r="A280">
        <v>279</v>
      </c>
      <c r="B280" s="3" t="s">
        <v>272</v>
      </c>
      <c r="C280" s="3" t="s">
        <v>452</v>
      </c>
      <c r="D280" s="3" t="s">
        <v>1191</v>
      </c>
      <c r="E280" s="3" t="s">
        <v>32</v>
      </c>
      <c r="F280" s="1">
        <v>43933</v>
      </c>
      <c r="G280">
        <v>6</v>
      </c>
      <c r="H280" s="3" t="s">
        <v>912</v>
      </c>
      <c r="I280" s="3" t="s">
        <v>17</v>
      </c>
      <c r="J280" s="3" t="s">
        <v>29</v>
      </c>
      <c r="K280" s="3" t="s">
        <v>42</v>
      </c>
      <c r="L280">
        <v>2210</v>
      </c>
      <c r="M280" s="3" t="s">
        <v>908</v>
      </c>
      <c r="N280">
        <v>26520</v>
      </c>
      <c r="O280">
        <v>4420</v>
      </c>
      <c r="P280">
        <v>3</v>
      </c>
      <c r="Q280" s="3" t="s">
        <v>908</v>
      </c>
      <c r="R280">
        <v>0</v>
      </c>
      <c r="S280">
        <v>0</v>
      </c>
      <c r="T280" s="3" t="s">
        <v>916</v>
      </c>
      <c r="U280">
        <v>13</v>
      </c>
      <c r="V280" s="3" t="s">
        <v>910</v>
      </c>
    </row>
    <row r="281" spans="1:22" x14ac:dyDescent="0.3">
      <c r="A281">
        <v>280</v>
      </c>
      <c r="B281" s="3" t="s">
        <v>453</v>
      </c>
      <c r="C281" s="3" t="s">
        <v>454</v>
      </c>
      <c r="D281" s="3" t="s">
        <v>1192</v>
      </c>
      <c r="E281" s="3" t="s">
        <v>307</v>
      </c>
      <c r="F281" s="1">
        <v>43753</v>
      </c>
      <c r="G281">
        <v>6</v>
      </c>
      <c r="H281" s="3" t="s">
        <v>912</v>
      </c>
      <c r="I281" s="3" t="s">
        <v>17</v>
      </c>
      <c r="J281" s="3" t="s">
        <v>18</v>
      </c>
      <c r="K281" s="3" t="s">
        <v>36</v>
      </c>
      <c r="L281">
        <v>1788</v>
      </c>
      <c r="M281" s="3" t="s">
        <v>908</v>
      </c>
      <c r="N281">
        <v>21456</v>
      </c>
      <c r="O281">
        <v>3576</v>
      </c>
      <c r="P281">
        <v>5</v>
      </c>
      <c r="Q281" s="3" t="s">
        <v>913</v>
      </c>
      <c r="R281">
        <v>1</v>
      </c>
      <c r="S281">
        <v>0</v>
      </c>
      <c r="T281" s="3" t="s">
        <v>909</v>
      </c>
      <c r="U281">
        <v>9</v>
      </c>
      <c r="V281" s="3" t="s">
        <v>917</v>
      </c>
    </row>
    <row r="282" spans="1:22" x14ac:dyDescent="0.3">
      <c r="A282">
        <v>281</v>
      </c>
      <c r="B282" s="3" t="s">
        <v>369</v>
      </c>
      <c r="C282" s="3" t="s">
        <v>455</v>
      </c>
      <c r="D282" s="3" t="s">
        <v>1193</v>
      </c>
      <c r="E282" s="3" t="s">
        <v>32</v>
      </c>
      <c r="F282" s="1">
        <v>43951</v>
      </c>
      <c r="G282">
        <v>6</v>
      </c>
      <c r="H282" s="3" t="s">
        <v>912</v>
      </c>
      <c r="I282" s="3" t="s">
        <v>17</v>
      </c>
      <c r="J282" s="3" t="s">
        <v>18</v>
      </c>
      <c r="K282" s="3" t="s">
        <v>36</v>
      </c>
      <c r="L282">
        <v>2488</v>
      </c>
      <c r="M282" s="3" t="s">
        <v>908</v>
      </c>
      <c r="N282">
        <v>29856</v>
      </c>
      <c r="O282">
        <v>4976</v>
      </c>
      <c r="P282">
        <v>5</v>
      </c>
      <c r="Q282" s="3" t="s">
        <v>913</v>
      </c>
      <c r="R282">
        <v>0</v>
      </c>
      <c r="S282">
        <v>5</v>
      </c>
      <c r="T282" s="3" t="s">
        <v>908</v>
      </c>
      <c r="U282">
        <v>3</v>
      </c>
      <c r="V282" s="3" t="s">
        <v>917</v>
      </c>
    </row>
    <row r="283" spans="1:22" x14ac:dyDescent="0.3">
      <c r="A283">
        <v>282</v>
      </c>
      <c r="B283" s="3" t="s">
        <v>33</v>
      </c>
      <c r="C283" s="3" t="s">
        <v>456</v>
      </c>
      <c r="D283" s="3" t="s">
        <v>1194</v>
      </c>
      <c r="E283" s="3" t="s">
        <v>32</v>
      </c>
      <c r="F283" s="1">
        <v>43939</v>
      </c>
      <c r="G283">
        <v>6</v>
      </c>
      <c r="H283" s="3" t="s">
        <v>912</v>
      </c>
      <c r="I283" s="3" t="s">
        <v>28</v>
      </c>
      <c r="J283" s="3" t="s">
        <v>18</v>
      </c>
      <c r="K283" s="3" t="s">
        <v>36</v>
      </c>
      <c r="L283">
        <v>2187</v>
      </c>
      <c r="M283" s="3" t="s">
        <v>908</v>
      </c>
      <c r="N283">
        <v>26244</v>
      </c>
      <c r="O283">
        <v>4374</v>
      </c>
      <c r="P283">
        <v>5</v>
      </c>
      <c r="Q283" s="3" t="s">
        <v>913</v>
      </c>
      <c r="R283">
        <v>1</v>
      </c>
      <c r="S283">
        <v>3</v>
      </c>
      <c r="T283" s="3" t="s">
        <v>908</v>
      </c>
      <c r="U283">
        <v>2</v>
      </c>
      <c r="V283" s="3" t="s">
        <v>917</v>
      </c>
    </row>
    <row r="284" spans="1:22" x14ac:dyDescent="0.3">
      <c r="A284">
        <v>283</v>
      </c>
      <c r="B284" s="3" t="s">
        <v>457</v>
      </c>
      <c r="C284" s="3" t="s">
        <v>458</v>
      </c>
      <c r="D284" s="3" t="s">
        <v>1195</v>
      </c>
      <c r="E284" s="3" t="s">
        <v>32</v>
      </c>
      <c r="F284" s="1">
        <v>43963</v>
      </c>
      <c r="G284">
        <v>6</v>
      </c>
      <c r="H284" s="3" t="s">
        <v>912</v>
      </c>
      <c r="I284" s="3" t="s">
        <v>17</v>
      </c>
      <c r="J284" s="3" t="s">
        <v>18</v>
      </c>
      <c r="K284" s="3" t="s">
        <v>42</v>
      </c>
      <c r="L284">
        <v>1366</v>
      </c>
      <c r="M284" s="3" t="s">
        <v>909</v>
      </c>
      <c r="N284">
        <v>16392</v>
      </c>
      <c r="O284">
        <v>2732</v>
      </c>
      <c r="P284">
        <v>2</v>
      </c>
      <c r="Q284" s="3" t="s">
        <v>909</v>
      </c>
      <c r="R284">
        <v>0</v>
      </c>
      <c r="S284">
        <v>0</v>
      </c>
      <c r="T284" s="3" t="s">
        <v>916</v>
      </c>
      <c r="U284">
        <v>13</v>
      </c>
      <c r="V284" s="3" t="s">
        <v>910</v>
      </c>
    </row>
    <row r="285" spans="1:22" x14ac:dyDescent="0.3">
      <c r="A285">
        <v>284</v>
      </c>
      <c r="B285" s="3" t="s">
        <v>197</v>
      </c>
      <c r="C285" s="3" t="s">
        <v>459</v>
      </c>
      <c r="D285" s="3" t="s">
        <v>1196</v>
      </c>
      <c r="E285" s="3" t="s">
        <v>32</v>
      </c>
      <c r="F285" s="1">
        <v>43591</v>
      </c>
      <c r="G285">
        <v>7</v>
      </c>
      <c r="H285" s="3" t="s">
        <v>907</v>
      </c>
      <c r="I285" s="3" t="s">
        <v>77</v>
      </c>
      <c r="J285" s="3" t="s">
        <v>18</v>
      </c>
      <c r="K285" s="3" t="s">
        <v>19</v>
      </c>
      <c r="L285">
        <v>2612</v>
      </c>
      <c r="M285" s="3" t="s">
        <v>913</v>
      </c>
      <c r="N285">
        <v>31344</v>
      </c>
      <c r="O285">
        <v>4477.7142857142853</v>
      </c>
      <c r="P285">
        <v>5</v>
      </c>
      <c r="Q285" s="3" t="s">
        <v>913</v>
      </c>
      <c r="R285">
        <v>0</v>
      </c>
      <c r="S285">
        <v>0</v>
      </c>
      <c r="T285" s="3" t="s">
        <v>916</v>
      </c>
      <c r="U285">
        <v>8</v>
      </c>
      <c r="V285" s="3" t="s">
        <v>917</v>
      </c>
    </row>
    <row r="286" spans="1:22" x14ac:dyDescent="0.3">
      <c r="A286">
        <v>285</v>
      </c>
      <c r="B286" s="3" t="s">
        <v>460</v>
      </c>
      <c r="C286" s="3" t="s">
        <v>461</v>
      </c>
      <c r="D286" s="3" t="s">
        <v>1197</v>
      </c>
      <c r="E286" s="3" t="s">
        <v>32</v>
      </c>
      <c r="F286" s="1">
        <v>43199</v>
      </c>
      <c r="G286">
        <v>8</v>
      </c>
      <c r="H286" s="3" t="s">
        <v>907</v>
      </c>
      <c r="I286" s="3" t="s">
        <v>41</v>
      </c>
      <c r="J286" s="3" t="s">
        <v>29</v>
      </c>
      <c r="K286" s="3" t="s">
        <v>42</v>
      </c>
      <c r="L286">
        <v>2246</v>
      </c>
      <c r="M286" s="3" t="s">
        <v>908</v>
      </c>
      <c r="N286">
        <v>26952</v>
      </c>
      <c r="O286">
        <v>3369</v>
      </c>
      <c r="P286">
        <v>5</v>
      </c>
      <c r="Q286" s="3" t="s">
        <v>913</v>
      </c>
      <c r="R286">
        <v>0</v>
      </c>
      <c r="S286">
        <v>0</v>
      </c>
      <c r="T286" s="3" t="s">
        <v>916</v>
      </c>
      <c r="U286">
        <v>8</v>
      </c>
      <c r="V286" s="3" t="s">
        <v>917</v>
      </c>
    </row>
    <row r="287" spans="1:22" x14ac:dyDescent="0.3">
      <c r="A287">
        <v>286</v>
      </c>
      <c r="B287" s="3" t="s">
        <v>33</v>
      </c>
      <c r="C287" s="3" t="s">
        <v>462</v>
      </c>
      <c r="D287" s="3" t="s">
        <v>1198</v>
      </c>
      <c r="E287" s="3" t="s">
        <v>32</v>
      </c>
      <c r="F287" s="1">
        <v>43307</v>
      </c>
      <c r="G287">
        <v>8</v>
      </c>
      <c r="H287" s="3" t="s">
        <v>907</v>
      </c>
      <c r="I287" s="3" t="s">
        <v>17</v>
      </c>
      <c r="J287" s="3" t="s">
        <v>18</v>
      </c>
      <c r="K287" s="3" t="s">
        <v>42</v>
      </c>
      <c r="L287">
        <v>2761</v>
      </c>
      <c r="M287" s="3" t="s">
        <v>913</v>
      </c>
      <c r="N287">
        <v>33132</v>
      </c>
      <c r="O287">
        <v>4141.5</v>
      </c>
      <c r="P287">
        <v>5</v>
      </c>
      <c r="Q287" s="3" t="s">
        <v>913</v>
      </c>
      <c r="R287">
        <v>0</v>
      </c>
      <c r="S287">
        <v>2</v>
      </c>
      <c r="T287" s="3" t="s">
        <v>909</v>
      </c>
      <c r="U287">
        <v>5</v>
      </c>
      <c r="V287" s="3" t="s">
        <v>917</v>
      </c>
    </row>
    <row r="288" spans="1:22" x14ac:dyDescent="0.3">
      <c r="A288">
        <v>287</v>
      </c>
      <c r="B288" s="3" t="s">
        <v>463</v>
      </c>
      <c r="C288" s="3" t="s">
        <v>464</v>
      </c>
      <c r="D288" s="3" t="s">
        <v>1199</v>
      </c>
      <c r="E288" s="3" t="s">
        <v>307</v>
      </c>
      <c r="F288" s="1">
        <v>43800</v>
      </c>
      <c r="G288">
        <v>6</v>
      </c>
      <c r="H288" s="3" t="s">
        <v>912</v>
      </c>
      <c r="I288" s="3" t="s">
        <v>118</v>
      </c>
      <c r="J288" s="3" t="s">
        <v>18</v>
      </c>
      <c r="K288" s="3" t="s">
        <v>42</v>
      </c>
      <c r="L288">
        <v>1536</v>
      </c>
      <c r="M288" s="3" t="s">
        <v>908</v>
      </c>
      <c r="N288">
        <v>18432</v>
      </c>
      <c r="O288">
        <v>3072</v>
      </c>
      <c r="P288">
        <v>4.5</v>
      </c>
      <c r="Q288" s="3" t="s">
        <v>913</v>
      </c>
      <c r="R288">
        <v>0</v>
      </c>
      <c r="S288">
        <v>0</v>
      </c>
      <c r="T288" s="3" t="s">
        <v>916</v>
      </c>
      <c r="U288">
        <v>76</v>
      </c>
      <c r="V288" s="3" t="s">
        <v>910</v>
      </c>
    </row>
    <row r="289" spans="1:22" x14ac:dyDescent="0.3">
      <c r="A289">
        <v>288</v>
      </c>
      <c r="B289" s="3" t="s">
        <v>33</v>
      </c>
      <c r="C289" s="3" t="s">
        <v>465</v>
      </c>
      <c r="D289" s="3" t="s">
        <v>1200</v>
      </c>
      <c r="E289" s="3" t="s">
        <v>32</v>
      </c>
      <c r="F289" s="1">
        <v>42684</v>
      </c>
      <c r="G289">
        <v>9</v>
      </c>
      <c r="H289" s="3" t="s">
        <v>920</v>
      </c>
      <c r="I289" s="3" t="s">
        <v>88</v>
      </c>
      <c r="J289" s="3" t="s">
        <v>22</v>
      </c>
      <c r="K289" s="3" t="s">
        <v>60</v>
      </c>
      <c r="L289">
        <v>2180</v>
      </c>
      <c r="M289" s="3" t="s">
        <v>908</v>
      </c>
      <c r="N289">
        <v>26160</v>
      </c>
      <c r="O289">
        <v>2906.6666666666665</v>
      </c>
      <c r="P289">
        <v>4.5</v>
      </c>
      <c r="Q289" s="3" t="s">
        <v>913</v>
      </c>
      <c r="R289">
        <v>0</v>
      </c>
      <c r="S289">
        <v>0</v>
      </c>
      <c r="T289" s="3" t="s">
        <v>916</v>
      </c>
      <c r="U289">
        <v>80</v>
      </c>
      <c r="V289" s="3" t="s">
        <v>910</v>
      </c>
    </row>
    <row r="290" spans="1:22" x14ac:dyDescent="0.3">
      <c r="A290">
        <v>289</v>
      </c>
      <c r="B290" s="3" t="s">
        <v>466</v>
      </c>
      <c r="C290" s="3" t="s">
        <v>461</v>
      </c>
      <c r="D290" s="3" t="s">
        <v>1201</v>
      </c>
      <c r="E290" s="3" t="s">
        <v>307</v>
      </c>
      <c r="F290" s="1">
        <v>43822</v>
      </c>
      <c r="G290">
        <v>6</v>
      </c>
      <c r="H290" s="3" t="s">
        <v>912</v>
      </c>
      <c r="I290" s="3" t="s">
        <v>41</v>
      </c>
      <c r="J290" s="3" t="s">
        <v>18</v>
      </c>
      <c r="K290" s="3" t="s">
        <v>42</v>
      </c>
      <c r="L290">
        <v>3412</v>
      </c>
      <c r="M290" s="3" t="s">
        <v>913</v>
      </c>
      <c r="N290">
        <v>40944</v>
      </c>
      <c r="O290">
        <v>6824</v>
      </c>
      <c r="P290">
        <v>5</v>
      </c>
      <c r="Q290" s="3" t="s">
        <v>913</v>
      </c>
      <c r="R290">
        <v>2</v>
      </c>
      <c r="S290">
        <v>0</v>
      </c>
      <c r="T290" s="3" t="s">
        <v>909</v>
      </c>
      <c r="U290">
        <v>3</v>
      </c>
      <c r="V290" s="3" t="s">
        <v>917</v>
      </c>
    </row>
    <row r="291" spans="1:22" x14ac:dyDescent="0.3">
      <c r="A291">
        <v>290</v>
      </c>
      <c r="B291" s="3" t="s">
        <v>33</v>
      </c>
      <c r="C291" s="3" t="s">
        <v>467</v>
      </c>
      <c r="D291" s="3" t="s">
        <v>1202</v>
      </c>
      <c r="E291" s="3" t="s">
        <v>32</v>
      </c>
      <c r="F291" s="1">
        <v>43250</v>
      </c>
      <c r="G291">
        <v>8</v>
      </c>
      <c r="H291" s="3" t="s">
        <v>907</v>
      </c>
      <c r="I291" s="3" t="s">
        <v>53</v>
      </c>
      <c r="J291" s="3" t="s">
        <v>18</v>
      </c>
      <c r="K291" s="3" t="s">
        <v>42</v>
      </c>
      <c r="L291">
        <v>2546</v>
      </c>
      <c r="M291" s="3" t="s">
        <v>913</v>
      </c>
      <c r="N291">
        <v>30552</v>
      </c>
      <c r="O291">
        <v>3819</v>
      </c>
      <c r="P291">
        <v>4.5</v>
      </c>
      <c r="Q291" s="3" t="s">
        <v>913</v>
      </c>
      <c r="R291">
        <v>0</v>
      </c>
      <c r="S291">
        <v>0</v>
      </c>
      <c r="T291" s="3" t="s">
        <v>916</v>
      </c>
      <c r="U291">
        <v>6</v>
      </c>
      <c r="V291" s="3" t="s">
        <v>917</v>
      </c>
    </row>
    <row r="292" spans="1:22" x14ac:dyDescent="0.3">
      <c r="A292">
        <v>291</v>
      </c>
      <c r="B292" s="3" t="s">
        <v>33</v>
      </c>
      <c r="C292" s="3" t="s">
        <v>468</v>
      </c>
      <c r="D292" s="3" t="s">
        <v>1203</v>
      </c>
      <c r="E292" s="3" t="s">
        <v>32</v>
      </c>
      <c r="F292" s="1">
        <v>43096</v>
      </c>
      <c r="G292">
        <v>8</v>
      </c>
      <c r="H292" s="3" t="s">
        <v>907</v>
      </c>
      <c r="I292" s="3" t="s">
        <v>144</v>
      </c>
      <c r="J292" s="3" t="s">
        <v>18</v>
      </c>
      <c r="K292" s="3" t="s">
        <v>36</v>
      </c>
      <c r="L292">
        <v>1856</v>
      </c>
      <c r="M292" s="3" t="s">
        <v>908</v>
      </c>
      <c r="N292">
        <v>22272</v>
      </c>
      <c r="O292">
        <v>2784</v>
      </c>
      <c r="P292">
        <v>5</v>
      </c>
      <c r="Q292" s="3" t="s">
        <v>913</v>
      </c>
      <c r="R292">
        <v>0</v>
      </c>
      <c r="S292">
        <v>0</v>
      </c>
      <c r="T292" s="3" t="s">
        <v>916</v>
      </c>
      <c r="U292">
        <v>0</v>
      </c>
      <c r="V292" s="3" t="s">
        <v>955</v>
      </c>
    </row>
    <row r="293" spans="1:22" x14ac:dyDescent="0.3">
      <c r="A293">
        <v>292</v>
      </c>
      <c r="B293" s="3" t="s">
        <v>197</v>
      </c>
      <c r="C293" s="3" t="s">
        <v>469</v>
      </c>
      <c r="D293" s="3" t="s">
        <v>1204</v>
      </c>
      <c r="E293" s="3" t="s">
        <v>32</v>
      </c>
      <c r="F293" s="1">
        <v>43618</v>
      </c>
      <c r="G293">
        <v>7</v>
      </c>
      <c r="H293" s="3" t="s">
        <v>907</v>
      </c>
      <c r="I293" s="3" t="s">
        <v>35</v>
      </c>
      <c r="J293" s="3" t="s">
        <v>18</v>
      </c>
      <c r="K293" s="3" t="s">
        <v>42</v>
      </c>
      <c r="L293">
        <v>3220</v>
      </c>
      <c r="M293" s="3" t="s">
        <v>913</v>
      </c>
      <c r="N293">
        <v>38640</v>
      </c>
      <c r="O293">
        <v>5520</v>
      </c>
      <c r="P293">
        <v>5</v>
      </c>
      <c r="Q293" s="3" t="s">
        <v>913</v>
      </c>
      <c r="R293">
        <v>6</v>
      </c>
      <c r="S293">
        <v>0</v>
      </c>
      <c r="T293" s="3" t="s">
        <v>908</v>
      </c>
      <c r="U293">
        <v>3</v>
      </c>
      <c r="V293" s="3" t="s">
        <v>917</v>
      </c>
    </row>
    <row r="294" spans="1:22" x14ac:dyDescent="0.3">
      <c r="A294">
        <v>293</v>
      </c>
      <c r="B294" s="3" t="s">
        <v>59</v>
      </c>
      <c r="C294" s="3" t="s">
        <v>470</v>
      </c>
      <c r="D294" s="3" t="s">
        <v>1205</v>
      </c>
      <c r="E294" s="3" t="s">
        <v>32</v>
      </c>
      <c r="F294" s="1">
        <v>42473</v>
      </c>
      <c r="G294">
        <v>10</v>
      </c>
      <c r="H294" s="3" t="s">
        <v>920</v>
      </c>
      <c r="I294" s="3" t="s">
        <v>28</v>
      </c>
      <c r="J294" s="3" t="s">
        <v>22</v>
      </c>
      <c r="K294" s="3" t="s">
        <v>42</v>
      </c>
      <c r="L294">
        <v>3061</v>
      </c>
      <c r="M294" s="3" t="s">
        <v>913</v>
      </c>
      <c r="N294">
        <v>36732</v>
      </c>
      <c r="O294">
        <v>3673.2</v>
      </c>
      <c r="P294">
        <v>5</v>
      </c>
      <c r="Q294" s="3" t="s">
        <v>913</v>
      </c>
      <c r="R294">
        <v>0</v>
      </c>
      <c r="S294">
        <v>0</v>
      </c>
      <c r="T294" s="3" t="s">
        <v>916</v>
      </c>
      <c r="U294">
        <v>3</v>
      </c>
      <c r="V294" s="3" t="s">
        <v>917</v>
      </c>
    </row>
    <row r="295" spans="1:22" x14ac:dyDescent="0.3">
      <c r="A295">
        <v>294</v>
      </c>
      <c r="B295" s="3" t="s">
        <v>263</v>
      </c>
      <c r="C295" s="3" t="s">
        <v>341</v>
      </c>
      <c r="D295" s="3" t="s">
        <v>1206</v>
      </c>
      <c r="E295" s="3" t="s">
        <v>32</v>
      </c>
      <c r="F295" s="1">
        <v>42973</v>
      </c>
      <c r="G295">
        <v>9</v>
      </c>
      <c r="H295" s="3" t="s">
        <v>920</v>
      </c>
      <c r="I295" s="3" t="s">
        <v>76</v>
      </c>
      <c r="J295" s="3" t="s">
        <v>22</v>
      </c>
      <c r="K295" s="3" t="s">
        <v>36</v>
      </c>
      <c r="L295">
        <v>2221</v>
      </c>
      <c r="M295" s="3" t="s">
        <v>908</v>
      </c>
      <c r="N295">
        <v>26652</v>
      </c>
      <c r="O295">
        <v>2961.3333333333335</v>
      </c>
      <c r="P295">
        <v>2</v>
      </c>
      <c r="Q295" s="3" t="s">
        <v>909</v>
      </c>
      <c r="R295">
        <v>0</v>
      </c>
      <c r="S295">
        <v>0</v>
      </c>
      <c r="T295" s="3" t="s">
        <v>916</v>
      </c>
      <c r="U295">
        <v>1</v>
      </c>
      <c r="V295" s="3" t="s">
        <v>917</v>
      </c>
    </row>
    <row r="296" spans="1:22" x14ac:dyDescent="0.3">
      <c r="A296">
        <v>295</v>
      </c>
      <c r="B296" s="3" t="s">
        <v>471</v>
      </c>
      <c r="C296" s="3" t="s">
        <v>30</v>
      </c>
      <c r="D296" s="3" t="s">
        <v>1207</v>
      </c>
      <c r="E296" s="3" t="s">
        <v>307</v>
      </c>
      <c r="F296" s="1">
        <v>42852</v>
      </c>
      <c r="G296">
        <v>9</v>
      </c>
      <c r="H296" s="3" t="s">
        <v>920</v>
      </c>
      <c r="I296" s="3" t="s">
        <v>17</v>
      </c>
      <c r="J296" s="3" t="s">
        <v>22</v>
      </c>
      <c r="K296" s="3" t="s">
        <v>60</v>
      </c>
      <c r="L296">
        <v>1799</v>
      </c>
      <c r="M296" s="3" t="s">
        <v>908</v>
      </c>
      <c r="N296">
        <v>21588</v>
      </c>
      <c r="O296">
        <v>2398.6666666666665</v>
      </c>
      <c r="P296">
        <v>4.5</v>
      </c>
      <c r="Q296" s="3" t="s">
        <v>913</v>
      </c>
      <c r="R296">
        <v>2</v>
      </c>
      <c r="S296">
        <v>0</v>
      </c>
      <c r="T296" s="3" t="s">
        <v>909</v>
      </c>
      <c r="U296">
        <v>6</v>
      </c>
      <c r="V296" s="3" t="s">
        <v>917</v>
      </c>
    </row>
    <row r="297" spans="1:22" x14ac:dyDescent="0.3">
      <c r="A297">
        <v>296</v>
      </c>
      <c r="B297" s="3" t="s">
        <v>369</v>
      </c>
      <c r="C297" s="3" t="s">
        <v>472</v>
      </c>
      <c r="D297" s="3" t="s">
        <v>1208</v>
      </c>
      <c r="E297" s="3" t="s">
        <v>32</v>
      </c>
      <c r="F297" s="1">
        <v>42879</v>
      </c>
      <c r="G297">
        <v>9</v>
      </c>
      <c r="H297" s="3" t="s">
        <v>920</v>
      </c>
      <c r="I297" s="3" t="s">
        <v>41</v>
      </c>
      <c r="J297" s="3" t="s">
        <v>18</v>
      </c>
      <c r="K297" s="3" t="s">
        <v>60</v>
      </c>
      <c r="L297">
        <v>2082</v>
      </c>
      <c r="M297" s="3" t="s">
        <v>908</v>
      </c>
      <c r="N297">
        <v>24984</v>
      </c>
      <c r="O297">
        <v>2776</v>
      </c>
      <c r="P297">
        <v>3</v>
      </c>
      <c r="Q297" s="3" t="s">
        <v>908</v>
      </c>
      <c r="R297">
        <v>0</v>
      </c>
      <c r="S297">
        <v>0</v>
      </c>
      <c r="T297" s="3" t="s">
        <v>916</v>
      </c>
      <c r="U297">
        <v>1</v>
      </c>
      <c r="V297" s="3" t="s">
        <v>917</v>
      </c>
    </row>
    <row r="298" spans="1:22" x14ac:dyDescent="0.3">
      <c r="A298">
        <v>297</v>
      </c>
      <c r="B298" s="3" t="s">
        <v>290</v>
      </c>
      <c r="C298" s="3" t="s">
        <v>119</v>
      </c>
      <c r="D298" s="3" t="s">
        <v>1209</v>
      </c>
      <c r="E298" s="3" t="s">
        <v>32</v>
      </c>
      <c r="F298" s="1">
        <v>42605</v>
      </c>
      <c r="G298">
        <v>10</v>
      </c>
      <c r="H298" s="3" t="s">
        <v>920</v>
      </c>
      <c r="I298" s="3" t="s">
        <v>118</v>
      </c>
      <c r="J298" s="3" t="s">
        <v>29</v>
      </c>
      <c r="K298" s="3" t="s">
        <v>36</v>
      </c>
      <c r="L298">
        <v>1490</v>
      </c>
      <c r="M298" s="3" t="s">
        <v>909</v>
      </c>
      <c r="N298">
        <v>17880</v>
      </c>
      <c r="O298">
        <v>1788</v>
      </c>
      <c r="P298">
        <v>4.5</v>
      </c>
      <c r="Q298" s="3" t="s">
        <v>913</v>
      </c>
      <c r="R298">
        <v>0</v>
      </c>
      <c r="S298">
        <v>2</v>
      </c>
      <c r="T298" s="3" t="s">
        <v>909</v>
      </c>
      <c r="U298">
        <v>6</v>
      </c>
      <c r="V298" s="3" t="s">
        <v>917</v>
      </c>
    </row>
    <row r="299" spans="1:22" x14ac:dyDescent="0.3">
      <c r="A299">
        <v>298</v>
      </c>
      <c r="B299" s="3" t="s">
        <v>300</v>
      </c>
      <c r="C299" s="3" t="s">
        <v>473</v>
      </c>
      <c r="D299" s="3" t="s">
        <v>1210</v>
      </c>
      <c r="E299" s="3" t="s">
        <v>307</v>
      </c>
      <c r="F299" s="1">
        <v>43905</v>
      </c>
      <c r="G299">
        <v>6</v>
      </c>
      <c r="H299" s="3" t="s">
        <v>912</v>
      </c>
      <c r="I299" s="3" t="s">
        <v>41</v>
      </c>
      <c r="J299" s="3" t="s">
        <v>29</v>
      </c>
      <c r="K299" s="3" t="s">
        <v>36</v>
      </c>
      <c r="L299">
        <v>2042</v>
      </c>
      <c r="M299" s="3" t="s">
        <v>908</v>
      </c>
      <c r="N299">
        <v>24504</v>
      </c>
      <c r="O299">
        <v>4084</v>
      </c>
      <c r="P299">
        <v>4.5</v>
      </c>
      <c r="Q299" s="3" t="s">
        <v>913</v>
      </c>
      <c r="R299">
        <v>0</v>
      </c>
      <c r="S299">
        <v>0</v>
      </c>
      <c r="T299" s="3" t="s">
        <v>916</v>
      </c>
      <c r="U299">
        <v>10</v>
      </c>
      <c r="V299" s="3" t="s">
        <v>917</v>
      </c>
    </row>
    <row r="300" spans="1:22" x14ac:dyDescent="0.3">
      <c r="A300">
        <v>299</v>
      </c>
      <c r="B300" s="3" t="s">
        <v>116</v>
      </c>
      <c r="C300" s="3" t="s">
        <v>474</v>
      </c>
      <c r="D300" s="3" t="s">
        <v>1211</v>
      </c>
      <c r="E300" s="3" t="s">
        <v>32</v>
      </c>
      <c r="F300" s="1">
        <v>42492</v>
      </c>
      <c r="G300">
        <v>10</v>
      </c>
      <c r="H300" s="3" t="s">
        <v>920</v>
      </c>
      <c r="I300" s="3" t="s">
        <v>58</v>
      </c>
      <c r="J300" s="3" t="s">
        <v>48</v>
      </c>
      <c r="K300" s="3" t="s">
        <v>42</v>
      </c>
      <c r="L300">
        <v>985</v>
      </c>
      <c r="M300" s="3" t="s">
        <v>909</v>
      </c>
      <c r="N300">
        <v>11820</v>
      </c>
      <c r="O300">
        <v>1182</v>
      </c>
      <c r="P300">
        <v>5</v>
      </c>
      <c r="Q300" s="3" t="s">
        <v>913</v>
      </c>
      <c r="R300">
        <v>1</v>
      </c>
      <c r="S300">
        <v>0</v>
      </c>
      <c r="T300" s="3" t="s">
        <v>909</v>
      </c>
      <c r="U300">
        <v>5</v>
      </c>
      <c r="V300" s="3" t="s">
        <v>917</v>
      </c>
    </row>
    <row r="301" spans="1:22" x14ac:dyDescent="0.3">
      <c r="A301">
        <v>300</v>
      </c>
      <c r="B301" s="3" t="s">
        <v>99</v>
      </c>
      <c r="C301" s="3" t="s">
        <v>475</v>
      </c>
      <c r="D301" s="3" t="s">
        <v>1212</v>
      </c>
      <c r="E301" s="3" t="s">
        <v>307</v>
      </c>
      <c r="F301" s="1">
        <v>42860</v>
      </c>
      <c r="G301">
        <v>9</v>
      </c>
      <c r="H301" s="3" t="s">
        <v>920</v>
      </c>
      <c r="I301" s="3" t="s">
        <v>39</v>
      </c>
      <c r="J301" s="3" t="s">
        <v>18</v>
      </c>
      <c r="K301" s="3" t="s">
        <v>36</v>
      </c>
      <c r="L301">
        <v>1988</v>
      </c>
      <c r="M301" s="3" t="s">
        <v>908</v>
      </c>
      <c r="N301">
        <v>23856</v>
      </c>
      <c r="O301">
        <v>2650.6666666666665</v>
      </c>
      <c r="P301">
        <v>3</v>
      </c>
      <c r="Q301" s="3" t="s">
        <v>908</v>
      </c>
      <c r="R301">
        <v>0</v>
      </c>
      <c r="S301">
        <v>0</v>
      </c>
      <c r="T301" s="3" t="s">
        <v>916</v>
      </c>
      <c r="U301">
        <v>7</v>
      </c>
      <c r="V301" s="3" t="s">
        <v>917</v>
      </c>
    </row>
    <row r="302" spans="1:22" x14ac:dyDescent="0.3">
      <c r="A302">
        <v>301</v>
      </c>
      <c r="B302" s="3" t="s">
        <v>37</v>
      </c>
      <c r="C302" s="3" t="s">
        <v>476</v>
      </c>
      <c r="D302" s="3" t="s">
        <v>1213</v>
      </c>
      <c r="E302" s="3" t="s">
        <v>307</v>
      </c>
      <c r="F302" s="1">
        <v>43286</v>
      </c>
      <c r="G302">
        <v>8</v>
      </c>
      <c r="H302" s="3" t="s">
        <v>907</v>
      </c>
      <c r="I302" s="3" t="s">
        <v>41</v>
      </c>
      <c r="J302" s="3" t="s">
        <v>22</v>
      </c>
      <c r="K302" s="3" t="s">
        <v>60</v>
      </c>
      <c r="L302">
        <v>1545</v>
      </c>
      <c r="M302" s="3" t="s">
        <v>908</v>
      </c>
      <c r="N302">
        <v>18540</v>
      </c>
      <c r="O302">
        <v>2317.5</v>
      </c>
      <c r="P302">
        <v>5</v>
      </c>
      <c r="Q302" s="3" t="s">
        <v>913</v>
      </c>
      <c r="R302">
        <v>1</v>
      </c>
      <c r="S302">
        <v>0</v>
      </c>
      <c r="T302" s="3" t="s">
        <v>909</v>
      </c>
      <c r="U302">
        <v>1</v>
      </c>
      <c r="V302" s="3" t="s">
        <v>917</v>
      </c>
    </row>
    <row r="303" spans="1:22" x14ac:dyDescent="0.3">
      <c r="A303">
        <v>302</v>
      </c>
      <c r="B303" s="3" t="s">
        <v>477</v>
      </c>
      <c r="C303" s="3" t="s">
        <v>478</v>
      </c>
      <c r="D303" s="3" t="s">
        <v>1214</v>
      </c>
      <c r="E303" s="3" t="s">
        <v>32</v>
      </c>
      <c r="F303" s="1">
        <v>44016</v>
      </c>
      <c r="G303">
        <v>6</v>
      </c>
      <c r="H303" s="3" t="s">
        <v>912</v>
      </c>
      <c r="I303" s="3" t="s">
        <v>76</v>
      </c>
      <c r="J303" s="3" t="s">
        <v>18</v>
      </c>
      <c r="K303" s="3" t="s">
        <v>42</v>
      </c>
      <c r="L303">
        <v>2637</v>
      </c>
      <c r="M303" s="3" t="s">
        <v>913</v>
      </c>
      <c r="N303">
        <v>31644</v>
      </c>
      <c r="O303">
        <v>5274</v>
      </c>
      <c r="P303">
        <v>5</v>
      </c>
      <c r="Q303" s="3" t="s">
        <v>913</v>
      </c>
      <c r="R303">
        <v>0</v>
      </c>
      <c r="S303">
        <v>0</v>
      </c>
      <c r="T303" s="3" t="s">
        <v>916</v>
      </c>
      <c r="U303">
        <v>50</v>
      </c>
      <c r="V303" s="3" t="s">
        <v>910</v>
      </c>
    </row>
    <row r="304" spans="1:22" x14ac:dyDescent="0.3">
      <c r="A304">
        <v>303</v>
      </c>
      <c r="B304" s="3" t="s">
        <v>33</v>
      </c>
      <c r="C304" s="3" t="s">
        <v>479</v>
      </c>
      <c r="D304" s="3" t="s">
        <v>1215</v>
      </c>
      <c r="E304" s="3" t="s">
        <v>32</v>
      </c>
      <c r="F304" s="1">
        <v>43810</v>
      </c>
      <c r="G304">
        <v>6</v>
      </c>
      <c r="H304" s="3" t="s">
        <v>912</v>
      </c>
      <c r="I304" s="3" t="s">
        <v>28</v>
      </c>
      <c r="J304" s="3" t="s">
        <v>22</v>
      </c>
      <c r="K304" s="3" t="s">
        <v>36</v>
      </c>
      <c r="L304">
        <v>1385</v>
      </c>
      <c r="M304" s="3" t="s">
        <v>909</v>
      </c>
      <c r="N304">
        <v>16620</v>
      </c>
      <c r="O304">
        <v>2770</v>
      </c>
      <c r="P304">
        <v>4.5</v>
      </c>
      <c r="Q304" s="3" t="s">
        <v>913</v>
      </c>
      <c r="R304">
        <v>0</v>
      </c>
      <c r="S304">
        <v>0</v>
      </c>
      <c r="T304" s="3" t="s">
        <v>916</v>
      </c>
      <c r="U304">
        <v>6</v>
      </c>
      <c r="V304" s="3" t="s">
        <v>917</v>
      </c>
    </row>
    <row r="305" spans="1:22" x14ac:dyDescent="0.3">
      <c r="A305">
        <v>304</v>
      </c>
      <c r="B305" s="3" t="s">
        <v>480</v>
      </c>
      <c r="C305" s="3" t="s">
        <v>481</v>
      </c>
      <c r="D305" s="3" t="s">
        <v>1216</v>
      </c>
      <c r="E305" s="3" t="s">
        <v>307</v>
      </c>
      <c r="F305" s="1">
        <v>43136</v>
      </c>
      <c r="G305">
        <v>8</v>
      </c>
      <c r="H305" s="3" t="s">
        <v>907</v>
      </c>
      <c r="I305" s="3" t="s">
        <v>28</v>
      </c>
      <c r="J305" s="3" t="s">
        <v>29</v>
      </c>
      <c r="K305" s="3" t="s">
        <v>60</v>
      </c>
      <c r="L305">
        <v>2468</v>
      </c>
      <c r="M305" s="3" t="s">
        <v>908</v>
      </c>
      <c r="N305">
        <v>29616</v>
      </c>
      <c r="O305">
        <v>3702</v>
      </c>
      <c r="P305">
        <v>1</v>
      </c>
      <c r="Q305" s="3" t="s">
        <v>909</v>
      </c>
      <c r="R305">
        <v>4</v>
      </c>
      <c r="S305">
        <v>0</v>
      </c>
      <c r="T305" s="3" t="s">
        <v>908</v>
      </c>
      <c r="U305">
        <v>3</v>
      </c>
      <c r="V305" s="3" t="s">
        <v>917</v>
      </c>
    </row>
    <row r="306" spans="1:22" x14ac:dyDescent="0.3">
      <c r="A306">
        <v>305</v>
      </c>
      <c r="B306" s="3" t="s">
        <v>482</v>
      </c>
      <c r="C306" s="3" t="s">
        <v>483</v>
      </c>
      <c r="D306" s="3" t="s">
        <v>1217</v>
      </c>
      <c r="E306" s="3" t="s">
        <v>307</v>
      </c>
      <c r="F306" s="1">
        <v>43280</v>
      </c>
      <c r="G306">
        <v>8</v>
      </c>
      <c r="H306" s="3" t="s">
        <v>907</v>
      </c>
      <c r="I306" s="3" t="s">
        <v>88</v>
      </c>
      <c r="J306" s="3" t="s">
        <v>48</v>
      </c>
      <c r="K306" s="3" t="s">
        <v>42</v>
      </c>
      <c r="L306">
        <v>2098</v>
      </c>
      <c r="M306" s="3" t="s">
        <v>908</v>
      </c>
      <c r="N306">
        <v>25176</v>
      </c>
      <c r="O306">
        <v>3147</v>
      </c>
      <c r="P306">
        <v>4.5</v>
      </c>
      <c r="Q306" s="3" t="s">
        <v>913</v>
      </c>
      <c r="R306">
        <v>0</v>
      </c>
      <c r="S306">
        <v>0</v>
      </c>
      <c r="T306" s="3" t="s">
        <v>916</v>
      </c>
      <c r="U306">
        <v>3</v>
      </c>
      <c r="V306" s="3" t="s">
        <v>917</v>
      </c>
    </row>
    <row r="307" spans="1:22" x14ac:dyDescent="0.3">
      <c r="A307">
        <v>306</v>
      </c>
      <c r="B307" s="3" t="s">
        <v>33</v>
      </c>
      <c r="C307" s="3" t="s">
        <v>484</v>
      </c>
      <c r="D307" s="3" t="s">
        <v>1218</v>
      </c>
      <c r="E307" s="3" t="s">
        <v>32</v>
      </c>
      <c r="F307" s="1">
        <v>43607</v>
      </c>
      <c r="G307">
        <v>7</v>
      </c>
      <c r="H307" s="3" t="s">
        <v>907</v>
      </c>
      <c r="I307" s="3" t="s">
        <v>58</v>
      </c>
      <c r="J307" s="3" t="s">
        <v>29</v>
      </c>
      <c r="K307" s="3" t="s">
        <v>42</v>
      </c>
      <c r="L307">
        <v>2302</v>
      </c>
      <c r="M307" s="3" t="s">
        <v>908</v>
      </c>
      <c r="N307">
        <v>27624</v>
      </c>
      <c r="O307">
        <v>3946.2857142857142</v>
      </c>
      <c r="P307">
        <v>3</v>
      </c>
      <c r="Q307" s="3" t="s">
        <v>908</v>
      </c>
      <c r="R307">
        <v>6</v>
      </c>
      <c r="S307">
        <v>0</v>
      </c>
      <c r="T307" s="3" t="s">
        <v>908</v>
      </c>
      <c r="U307">
        <v>6</v>
      </c>
      <c r="V307" s="3" t="s">
        <v>917</v>
      </c>
    </row>
    <row r="308" spans="1:22" x14ac:dyDescent="0.3">
      <c r="A308">
        <v>307</v>
      </c>
      <c r="B308" s="3" t="s">
        <v>327</v>
      </c>
      <c r="C308" s="3" t="s">
        <v>485</v>
      </c>
      <c r="D308" s="3" t="s">
        <v>1219</v>
      </c>
      <c r="E308" s="3" t="s">
        <v>32</v>
      </c>
      <c r="F308" s="1">
        <v>43565</v>
      </c>
      <c r="G308">
        <v>7</v>
      </c>
      <c r="H308" s="3" t="s">
        <v>907</v>
      </c>
      <c r="I308" s="3" t="s">
        <v>53</v>
      </c>
      <c r="J308" s="3" t="s">
        <v>18</v>
      </c>
      <c r="K308" s="3" t="s">
        <v>42</v>
      </c>
      <c r="L308">
        <v>1623</v>
      </c>
      <c r="M308" s="3" t="s">
        <v>908</v>
      </c>
      <c r="N308">
        <v>19476</v>
      </c>
      <c r="O308">
        <v>2782.2857142857142</v>
      </c>
      <c r="P308">
        <v>1</v>
      </c>
      <c r="Q308" s="3" t="s">
        <v>909</v>
      </c>
      <c r="R308">
        <v>6</v>
      </c>
      <c r="S308">
        <v>0</v>
      </c>
      <c r="T308" s="3" t="s">
        <v>908</v>
      </c>
      <c r="U308">
        <v>4</v>
      </c>
      <c r="V308" s="3" t="s">
        <v>917</v>
      </c>
    </row>
    <row r="309" spans="1:22" x14ac:dyDescent="0.3">
      <c r="A309">
        <v>308</v>
      </c>
      <c r="B309" s="3" t="s">
        <v>486</v>
      </c>
      <c r="C309" s="3" t="s">
        <v>487</v>
      </c>
      <c r="D309" s="3" t="s">
        <v>1220</v>
      </c>
      <c r="E309" s="3" t="s">
        <v>307</v>
      </c>
      <c r="F309" s="1">
        <v>43537</v>
      </c>
      <c r="G309">
        <v>7</v>
      </c>
      <c r="H309" s="3" t="s">
        <v>907</v>
      </c>
      <c r="I309" s="3" t="s">
        <v>77</v>
      </c>
      <c r="J309" s="3" t="s">
        <v>294</v>
      </c>
      <c r="K309" s="3" t="s">
        <v>42</v>
      </c>
      <c r="L309">
        <v>1333</v>
      </c>
      <c r="M309" s="3" t="s">
        <v>909</v>
      </c>
      <c r="N309">
        <v>15996</v>
      </c>
      <c r="O309">
        <v>2285.1428571428573</v>
      </c>
      <c r="P309">
        <v>3</v>
      </c>
      <c r="Q309" s="3" t="s">
        <v>908</v>
      </c>
      <c r="R309">
        <v>1</v>
      </c>
      <c r="S309">
        <v>6</v>
      </c>
      <c r="T309" s="3" t="s">
        <v>913</v>
      </c>
      <c r="U309">
        <v>10</v>
      </c>
      <c r="V309" s="3" t="s">
        <v>917</v>
      </c>
    </row>
    <row r="310" spans="1:22" x14ac:dyDescent="0.3">
      <c r="A310">
        <v>309</v>
      </c>
      <c r="B310" s="3" t="s">
        <v>33</v>
      </c>
      <c r="C310" s="3" t="s">
        <v>488</v>
      </c>
      <c r="D310" s="3" t="s">
        <v>1221</v>
      </c>
      <c r="E310" s="3" t="s">
        <v>32</v>
      </c>
      <c r="F310" s="1">
        <v>42692</v>
      </c>
      <c r="G310">
        <v>9</v>
      </c>
      <c r="H310" s="3" t="s">
        <v>920</v>
      </c>
      <c r="I310" s="3" t="s">
        <v>17</v>
      </c>
      <c r="J310" s="3" t="s">
        <v>29</v>
      </c>
      <c r="K310" s="3" t="s">
        <v>42</v>
      </c>
      <c r="L310">
        <v>1431</v>
      </c>
      <c r="M310" s="3" t="s">
        <v>909</v>
      </c>
      <c r="N310">
        <v>17172</v>
      </c>
      <c r="O310">
        <v>1908</v>
      </c>
      <c r="P310">
        <v>5</v>
      </c>
      <c r="Q310" s="3" t="s">
        <v>913</v>
      </c>
      <c r="R310">
        <v>0</v>
      </c>
      <c r="S310">
        <v>0</v>
      </c>
      <c r="T310" s="3" t="s">
        <v>916</v>
      </c>
      <c r="U310">
        <v>4</v>
      </c>
      <c r="V310" s="3" t="s">
        <v>917</v>
      </c>
    </row>
    <row r="311" spans="1:22" x14ac:dyDescent="0.3">
      <c r="A311">
        <v>310</v>
      </c>
      <c r="B311" s="3" t="s">
        <v>489</v>
      </c>
      <c r="C311" s="3" t="s">
        <v>490</v>
      </c>
      <c r="D311" s="3" t="s">
        <v>1222</v>
      </c>
      <c r="E311" s="3" t="s">
        <v>307</v>
      </c>
      <c r="F311" s="1">
        <v>43823</v>
      </c>
      <c r="G311">
        <v>6</v>
      </c>
      <c r="H311" s="3" t="s">
        <v>912</v>
      </c>
      <c r="I311" s="3" t="s">
        <v>28</v>
      </c>
      <c r="J311" s="3" t="s">
        <v>18</v>
      </c>
      <c r="K311" s="3" t="s">
        <v>19</v>
      </c>
      <c r="L311">
        <v>2527</v>
      </c>
      <c r="M311" s="3" t="s">
        <v>913</v>
      </c>
      <c r="N311">
        <v>30324</v>
      </c>
      <c r="O311">
        <v>5054</v>
      </c>
      <c r="P311">
        <v>3</v>
      </c>
      <c r="Q311" s="3" t="s">
        <v>908</v>
      </c>
      <c r="R311">
        <v>0</v>
      </c>
      <c r="S311">
        <v>0</v>
      </c>
      <c r="T311" s="3" t="s">
        <v>916</v>
      </c>
      <c r="U311">
        <v>98</v>
      </c>
      <c r="V311" s="3" t="s">
        <v>910</v>
      </c>
    </row>
    <row r="312" spans="1:22" x14ac:dyDescent="0.3">
      <c r="A312">
        <v>311</v>
      </c>
      <c r="B312" s="3" t="s">
        <v>310</v>
      </c>
      <c r="C312" s="3" t="s">
        <v>491</v>
      </c>
      <c r="D312" s="3" t="s">
        <v>1223</v>
      </c>
      <c r="E312" s="3" t="s">
        <v>307</v>
      </c>
      <c r="F312" s="1">
        <v>42772</v>
      </c>
      <c r="G312">
        <v>9</v>
      </c>
      <c r="H312" s="3" t="s">
        <v>920</v>
      </c>
      <c r="I312" s="3" t="s">
        <v>28</v>
      </c>
      <c r="J312" s="3" t="s">
        <v>18</v>
      </c>
      <c r="K312" s="3" t="s">
        <v>60</v>
      </c>
      <c r="L312">
        <v>2631</v>
      </c>
      <c r="M312" s="3" t="s">
        <v>913</v>
      </c>
      <c r="N312">
        <v>31572</v>
      </c>
      <c r="O312">
        <v>3508</v>
      </c>
      <c r="P312">
        <v>3</v>
      </c>
      <c r="Q312" s="3" t="s">
        <v>908</v>
      </c>
      <c r="R312">
        <v>0</v>
      </c>
      <c r="S312">
        <v>0</v>
      </c>
      <c r="T312" s="3" t="s">
        <v>916</v>
      </c>
      <c r="U312">
        <v>7</v>
      </c>
      <c r="V312" s="3" t="s">
        <v>917</v>
      </c>
    </row>
    <row r="313" spans="1:22" x14ac:dyDescent="0.3">
      <c r="A313">
        <v>312</v>
      </c>
      <c r="B313" s="3" t="s">
        <v>127</v>
      </c>
      <c r="C313" s="3" t="s">
        <v>492</v>
      </c>
      <c r="D313" s="3" t="s">
        <v>1224</v>
      </c>
      <c r="E313" s="3" t="s">
        <v>32</v>
      </c>
      <c r="F313" s="1">
        <v>43171</v>
      </c>
      <c r="G313">
        <v>8</v>
      </c>
      <c r="H313" s="3" t="s">
        <v>907</v>
      </c>
      <c r="I313" s="3" t="s">
        <v>58</v>
      </c>
      <c r="J313" s="3" t="s">
        <v>18</v>
      </c>
      <c r="K313" s="3" t="s">
        <v>19</v>
      </c>
      <c r="L313">
        <v>1600</v>
      </c>
      <c r="M313" s="3" t="s">
        <v>908</v>
      </c>
      <c r="N313">
        <v>19200</v>
      </c>
      <c r="O313">
        <v>2400</v>
      </c>
      <c r="P313">
        <v>4.5</v>
      </c>
      <c r="Q313" s="3" t="s">
        <v>913</v>
      </c>
      <c r="R313">
        <v>0</v>
      </c>
      <c r="S313">
        <v>0</v>
      </c>
      <c r="T313" s="3" t="s">
        <v>916</v>
      </c>
      <c r="U313">
        <v>0</v>
      </c>
      <c r="V313" s="3" t="s">
        <v>955</v>
      </c>
    </row>
    <row r="314" spans="1:22" x14ac:dyDescent="0.3">
      <c r="A314">
        <v>313</v>
      </c>
      <c r="B314" s="3" t="s">
        <v>493</v>
      </c>
      <c r="C314" s="3" t="s">
        <v>494</v>
      </c>
      <c r="D314" s="3" t="s">
        <v>1225</v>
      </c>
      <c r="E314" s="3" t="s">
        <v>32</v>
      </c>
      <c r="F314" s="1">
        <v>44181</v>
      </c>
      <c r="G314">
        <v>5</v>
      </c>
      <c r="H314" s="3" t="s">
        <v>912</v>
      </c>
      <c r="I314" s="3" t="s">
        <v>93</v>
      </c>
      <c r="J314" s="3" t="s">
        <v>18</v>
      </c>
      <c r="K314" s="3" t="s">
        <v>42</v>
      </c>
      <c r="L314">
        <v>2752</v>
      </c>
      <c r="M314" s="3" t="s">
        <v>913</v>
      </c>
      <c r="N314">
        <v>33024</v>
      </c>
      <c r="O314">
        <v>6604.8</v>
      </c>
      <c r="P314">
        <v>5</v>
      </c>
      <c r="Q314" s="3" t="s">
        <v>913</v>
      </c>
      <c r="R314">
        <v>0</v>
      </c>
      <c r="S314">
        <v>0</v>
      </c>
      <c r="T314" s="3" t="s">
        <v>916</v>
      </c>
      <c r="U314">
        <v>4</v>
      </c>
      <c r="V314" s="3" t="s">
        <v>917</v>
      </c>
    </row>
    <row r="315" spans="1:22" x14ac:dyDescent="0.3">
      <c r="A315">
        <v>314</v>
      </c>
      <c r="B315" s="3" t="s">
        <v>59</v>
      </c>
      <c r="C315" s="3" t="s">
        <v>344</v>
      </c>
      <c r="D315" s="3" t="s">
        <v>1226</v>
      </c>
      <c r="E315" s="3" t="s">
        <v>307</v>
      </c>
      <c r="F315" s="1">
        <v>43998</v>
      </c>
      <c r="G315">
        <v>6</v>
      </c>
      <c r="H315" s="3" t="s">
        <v>912</v>
      </c>
      <c r="I315" s="3" t="s">
        <v>17</v>
      </c>
      <c r="J315" s="3" t="s">
        <v>18</v>
      </c>
      <c r="K315" s="3" t="s">
        <v>42</v>
      </c>
      <c r="L315">
        <v>3125</v>
      </c>
      <c r="M315" s="3" t="s">
        <v>913</v>
      </c>
      <c r="N315">
        <v>37500</v>
      </c>
      <c r="O315">
        <v>6250</v>
      </c>
      <c r="P315">
        <v>5</v>
      </c>
      <c r="Q315" s="3" t="s">
        <v>913</v>
      </c>
      <c r="R315">
        <v>0</v>
      </c>
      <c r="S315">
        <v>0</v>
      </c>
      <c r="T315" s="3" t="s">
        <v>916</v>
      </c>
      <c r="U315">
        <v>5</v>
      </c>
      <c r="V315" s="3" t="s">
        <v>917</v>
      </c>
    </row>
    <row r="316" spans="1:22" x14ac:dyDescent="0.3">
      <c r="A316">
        <v>315</v>
      </c>
      <c r="B316" s="3" t="s">
        <v>495</v>
      </c>
      <c r="C316" s="3" t="s">
        <v>496</v>
      </c>
      <c r="D316" s="3" t="s">
        <v>1227</v>
      </c>
      <c r="E316" s="3" t="s">
        <v>307</v>
      </c>
      <c r="F316" s="1">
        <v>43648</v>
      </c>
      <c r="G316">
        <v>7</v>
      </c>
      <c r="H316" s="3" t="s">
        <v>907</v>
      </c>
      <c r="I316" s="3" t="s">
        <v>50</v>
      </c>
      <c r="J316" s="3" t="s">
        <v>22</v>
      </c>
      <c r="K316" s="3" t="s">
        <v>19</v>
      </c>
      <c r="L316">
        <v>2091</v>
      </c>
      <c r="M316" s="3" t="s">
        <v>908</v>
      </c>
      <c r="N316">
        <v>25092</v>
      </c>
      <c r="O316">
        <v>3584.5714285714284</v>
      </c>
      <c r="P316">
        <v>2</v>
      </c>
      <c r="Q316" s="3" t="s">
        <v>909</v>
      </c>
      <c r="R316">
        <v>0</v>
      </c>
      <c r="S316">
        <v>1</v>
      </c>
      <c r="T316" s="3" t="s">
        <v>909</v>
      </c>
      <c r="U316">
        <v>9</v>
      </c>
      <c r="V316" s="3" t="s">
        <v>917</v>
      </c>
    </row>
    <row r="317" spans="1:22" x14ac:dyDescent="0.3">
      <c r="A317">
        <v>316</v>
      </c>
      <c r="B317" s="3" t="s">
        <v>497</v>
      </c>
      <c r="C317" s="3" t="s">
        <v>498</v>
      </c>
      <c r="D317" s="3" t="s">
        <v>1228</v>
      </c>
      <c r="E317" s="3" t="s">
        <v>307</v>
      </c>
      <c r="F317" s="1">
        <v>42726</v>
      </c>
      <c r="G317">
        <v>9</v>
      </c>
      <c r="H317" s="3" t="s">
        <v>920</v>
      </c>
      <c r="I317" s="3" t="s">
        <v>58</v>
      </c>
      <c r="J317" s="3" t="s">
        <v>29</v>
      </c>
      <c r="K317" s="3" t="s">
        <v>42</v>
      </c>
      <c r="L317">
        <v>1009</v>
      </c>
      <c r="M317" s="3" t="s">
        <v>909</v>
      </c>
      <c r="N317">
        <v>12108</v>
      </c>
      <c r="O317">
        <v>1345.3333333333333</v>
      </c>
      <c r="P317">
        <v>4.5</v>
      </c>
      <c r="Q317" s="3" t="s">
        <v>913</v>
      </c>
      <c r="R317">
        <v>0</v>
      </c>
      <c r="S317">
        <v>0</v>
      </c>
      <c r="T317" s="3" t="s">
        <v>916</v>
      </c>
      <c r="U317">
        <v>17</v>
      </c>
      <c r="V317" s="3" t="s">
        <v>910</v>
      </c>
    </row>
    <row r="318" spans="1:22" x14ac:dyDescent="0.3">
      <c r="A318">
        <v>317</v>
      </c>
      <c r="B318" s="3" t="s">
        <v>33</v>
      </c>
      <c r="C318" s="3" t="s">
        <v>142</v>
      </c>
      <c r="D318" s="3" t="s">
        <v>1229</v>
      </c>
      <c r="E318" s="3" t="s">
        <v>32</v>
      </c>
      <c r="F318" s="1">
        <v>44115</v>
      </c>
      <c r="G318">
        <v>5</v>
      </c>
      <c r="H318" s="3" t="s">
        <v>912</v>
      </c>
      <c r="I318" s="3" t="s">
        <v>17</v>
      </c>
      <c r="J318" s="3" t="s">
        <v>22</v>
      </c>
      <c r="K318" s="3" t="s">
        <v>42</v>
      </c>
      <c r="L318">
        <v>3443</v>
      </c>
      <c r="M318" s="3" t="s">
        <v>913</v>
      </c>
      <c r="N318">
        <v>41316</v>
      </c>
      <c r="O318">
        <v>8263.2000000000007</v>
      </c>
      <c r="P318">
        <v>1</v>
      </c>
      <c r="Q318" s="3" t="s">
        <v>909</v>
      </c>
      <c r="R318">
        <v>0</v>
      </c>
      <c r="S318">
        <v>0</v>
      </c>
      <c r="T318" s="3" t="s">
        <v>916</v>
      </c>
      <c r="U318">
        <v>1</v>
      </c>
      <c r="V318" s="3" t="s">
        <v>917</v>
      </c>
    </row>
    <row r="319" spans="1:22" x14ac:dyDescent="0.3">
      <c r="A319">
        <v>318</v>
      </c>
      <c r="B319" s="3" t="s">
        <v>499</v>
      </c>
      <c r="C319" s="3" t="s">
        <v>500</v>
      </c>
      <c r="D319" s="3" t="s">
        <v>1230</v>
      </c>
      <c r="E319" s="3" t="s">
        <v>307</v>
      </c>
      <c r="F319" s="1">
        <v>43182</v>
      </c>
      <c r="G319">
        <v>8</v>
      </c>
      <c r="H319" s="3" t="s">
        <v>907</v>
      </c>
      <c r="I319" s="3" t="s">
        <v>28</v>
      </c>
      <c r="J319" s="3" t="s">
        <v>48</v>
      </c>
      <c r="K319" s="3" t="s">
        <v>19</v>
      </c>
      <c r="L319">
        <v>1582</v>
      </c>
      <c r="M319" s="3" t="s">
        <v>908</v>
      </c>
      <c r="N319">
        <v>18984</v>
      </c>
      <c r="O319">
        <v>2373</v>
      </c>
      <c r="P319">
        <v>4.5</v>
      </c>
      <c r="Q319" s="3" t="s">
        <v>913</v>
      </c>
      <c r="R319">
        <v>0</v>
      </c>
      <c r="S319">
        <v>0</v>
      </c>
      <c r="T319" s="3" t="s">
        <v>916</v>
      </c>
      <c r="U319">
        <v>5</v>
      </c>
      <c r="V319" s="3" t="s">
        <v>917</v>
      </c>
    </row>
    <row r="320" spans="1:22" x14ac:dyDescent="0.3">
      <c r="A320">
        <v>319</v>
      </c>
      <c r="B320" s="3" t="s">
        <v>501</v>
      </c>
      <c r="C320" s="3" t="s">
        <v>502</v>
      </c>
      <c r="D320" s="3" t="s">
        <v>1231</v>
      </c>
      <c r="E320" s="3" t="s">
        <v>307</v>
      </c>
      <c r="F320" s="1">
        <v>43528</v>
      </c>
      <c r="G320">
        <v>7</v>
      </c>
      <c r="H320" s="3" t="s">
        <v>907</v>
      </c>
      <c r="I320" s="3" t="s">
        <v>58</v>
      </c>
      <c r="J320" s="3" t="s">
        <v>29</v>
      </c>
      <c r="K320" s="3" t="s">
        <v>36</v>
      </c>
      <c r="L320">
        <v>2103</v>
      </c>
      <c r="M320" s="3" t="s">
        <v>908</v>
      </c>
      <c r="N320">
        <v>25236</v>
      </c>
      <c r="O320">
        <v>3605.1428571428573</v>
      </c>
      <c r="P320">
        <v>5</v>
      </c>
      <c r="Q320" s="3" t="s">
        <v>913</v>
      </c>
      <c r="R320">
        <v>1</v>
      </c>
      <c r="S320">
        <v>1</v>
      </c>
      <c r="T320" s="3" t="s">
        <v>909</v>
      </c>
      <c r="U320">
        <v>2</v>
      </c>
      <c r="V320" s="3" t="s">
        <v>917</v>
      </c>
    </row>
    <row r="321" spans="1:22" x14ac:dyDescent="0.3">
      <c r="A321">
        <v>320</v>
      </c>
      <c r="B321" s="3" t="s">
        <v>503</v>
      </c>
      <c r="C321" s="3" t="s">
        <v>504</v>
      </c>
      <c r="D321" s="3" t="s">
        <v>1232</v>
      </c>
      <c r="E321" s="3" t="s">
        <v>307</v>
      </c>
      <c r="F321" s="1">
        <v>43106</v>
      </c>
      <c r="G321">
        <v>8</v>
      </c>
      <c r="H321" s="3" t="s">
        <v>907</v>
      </c>
      <c r="I321" s="3" t="s">
        <v>93</v>
      </c>
      <c r="J321" s="3" t="s">
        <v>18</v>
      </c>
      <c r="K321" s="3" t="s">
        <v>42</v>
      </c>
      <c r="L321">
        <v>3108</v>
      </c>
      <c r="M321" s="3" t="s">
        <v>913</v>
      </c>
      <c r="N321">
        <v>37296</v>
      </c>
      <c r="O321">
        <v>4662</v>
      </c>
      <c r="P321">
        <v>1</v>
      </c>
      <c r="Q321" s="3" t="s">
        <v>909</v>
      </c>
      <c r="R321">
        <v>0</v>
      </c>
      <c r="S321">
        <v>0</v>
      </c>
      <c r="T321" s="3" t="s">
        <v>916</v>
      </c>
      <c r="U321">
        <v>45</v>
      </c>
      <c r="V321" s="3" t="s">
        <v>910</v>
      </c>
    </row>
    <row r="322" spans="1:22" x14ac:dyDescent="0.3">
      <c r="A322">
        <v>321</v>
      </c>
      <c r="B322" s="3" t="s">
        <v>30</v>
      </c>
      <c r="C322" s="3" t="s">
        <v>505</v>
      </c>
      <c r="D322" s="3" t="s">
        <v>1233</v>
      </c>
      <c r="E322" s="3" t="s">
        <v>32</v>
      </c>
      <c r="F322" s="1">
        <v>42601</v>
      </c>
      <c r="G322">
        <v>10</v>
      </c>
      <c r="H322" s="3" t="s">
        <v>920</v>
      </c>
      <c r="I322" s="3" t="s">
        <v>28</v>
      </c>
      <c r="J322" s="3" t="s">
        <v>18</v>
      </c>
      <c r="K322" s="3" t="s">
        <v>42</v>
      </c>
      <c r="L322">
        <v>1810</v>
      </c>
      <c r="M322" s="3" t="s">
        <v>908</v>
      </c>
      <c r="N322">
        <v>21720</v>
      </c>
      <c r="O322">
        <v>2172</v>
      </c>
      <c r="P322">
        <v>3</v>
      </c>
      <c r="Q322" s="3" t="s">
        <v>908</v>
      </c>
      <c r="R322">
        <v>0</v>
      </c>
      <c r="S322">
        <v>0</v>
      </c>
      <c r="T322" s="3" t="s">
        <v>916</v>
      </c>
      <c r="U322">
        <v>5</v>
      </c>
      <c r="V322" s="3" t="s">
        <v>917</v>
      </c>
    </row>
    <row r="323" spans="1:22" x14ac:dyDescent="0.3">
      <c r="A323">
        <v>322</v>
      </c>
      <c r="B323" s="3" t="s">
        <v>506</v>
      </c>
      <c r="C323" s="3" t="s">
        <v>507</v>
      </c>
      <c r="D323" s="3" t="s">
        <v>1234</v>
      </c>
      <c r="E323" s="3" t="s">
        <v>32</v>
      </c>
      <c r="F323" s="1">
        <v>43322</v>
      </c>
      <c r="G323">
        <v>8</v>
      </c>
      <c r="H323" s="3" t="s">
        <v>907</v>
      </c>
      <c r="I323" s="3" t="s">
        <v>118</v>
      </c>
      <c r="J323" s="3" t="s">
        <v>22</v>
      </c>
      <c r="K323" s="3" t="s">
        <v>19</v>
      </c>
      <c r="L323">
        <v>2312</v>
      </c>
      <c r="M323" s="3" t="s">
        <v>908</v>
      </c>
      <c r="N323">
        <v>27744</v>
      </c>
      <c r="O323">
        <v>3468</v>
      </c>
      <c r="P323">
        <v>3</v>
      </c>
      <c r="Q323" s="3" t="s">
        <v>908</v>
      </c>
      <c r="R323">
        <v>3</v>
      </c>
      <c r="S323">
        <v>0</v>
      </c>
      <c r="T323" s="3" t="s">
        <v>909</v>
      </c>
      <c r="U323">
        <v>10</v>
      </c>
      <c r="V323" s="3" t="s">
        <v>917</v>
      </c>
    </row>
    <row r="324" spans="1:22" x14ac:dyDescent="0.3">
      <c r="A324">
        <v>323</v>
      </c>
      <c r="B324" s="3" t="s">
        <v>300</v>
      </c>
      <c r="C324" s="3" t="s">
        <v>374</v>
      </c>
      <c r="D324" s="3" t="s">
        <v>1235</v>
      </c>
      <c r="E324" s="3" t="s">
        <v>307</v>
      </c>
      <c r="F324" s="1">
        <v>43993</v>
      </c>
      <c r="G324">
        <v>6</v>
      </c>
      <c r="H324" s="3" t="s">
        <v>912</v>
      </c>
      <c r="I324" s="3" t="s">
        <v>53</v>
      </c>
      <c r="J324" s="3" t="s">
        <v>18</v>
      </c>
      <c r="K324" s="3" t="s">
        <v>42</v>
      </c>
      <c r="L324">
        <v>2783</v>
      </c>
      <c r="M324" s="3" t="s">
        <v>913</v>
      </c>
      <c r="N324">
        <v>33396</v>
      </c>
      <c r="O324">
        <v>5566</v>
      </c>
      <c r="P324">
        <v>1</v>
      </c>
      <c r="Q324" s="3" t="s">
        <v>909</v>
      </c>
      <c r="R324">
        <v>2</v>
      </c>
      <c r="S324">
        <v>0</v>
      </c>
      <c r="T324" s="3" t="s">
        <v>909</v>
      </c>
      <c r="U324">
        <v>15</v>
      </c>
      <c r="V324" s="3" t="s">
        <v>910</v>
      </c>
    </row>
    <row r="325" spans="1:22" x14ac:dyDescent="0.3">
      <c r="A325">
        <v>324</v>
      </c>
      <c r="B325" s="3" t="s">
        <v>33</v>
      </c>
      <c r="C325" s="3" t="s">
        <v>508</v>
      </c>
      <c r="D325" s="3" t="s">
        <v>1236</v>
      </c>
      <c r="E325" s="3" t="s">
        <v>32</v>
      </c>
      <c r="F325" s="1">
        <v>44167</v>
      </c>
      <c r="G325">
        <v>5</v>
      </c>
      <c r="H325" s="3" t="s">
        <v>912</v>
      </c>
      <c r="I325" s="3" t="s">
        <v>17</v>
      </c>
      <c r="J325" s="3" t="s">
        <v>18</v>
      </c>
      <c r="K325" s="3" t="s">
        <v>42</v>
      </c>
      <c r="L325">
        <v>3428</v>
      </c>
      <c r="M325" s="3" t="s">
        <v>913</v>
      </c>
      <c r="N325">
        <v>41136</v>
      </c>
      <c r="O325">
        <v>8227.2000000000007</v>
      </c>
      <c r="P325">
        <v>3</v>
      </c>
      <c r="Q325" s="3" t="s">
        <v>908</v>
      </c>
      <c r="R325">
        <v>5</v>
      </c>
      <c r="S325">
        <v>0</v>
      </c>
      <c r="T325" s="3" t="s">
        <v>908</v>
      </c>
      <c r="U325">
        <v>10</v>
      </c>
      <c r="V325" s="3" t="s">
        <v>917</v>
      </c>
    </row>
    <row r="326" spans="1:22" x14ac:dyDescent="0.3">
      <c r="A326">
        <v>325</v>
      </c>
      <c r="B326" s="3" t="s">
        <v>509</v>
      </c>
      <c r="C326" s="3" t="s">
        <v>198</v>
      </c>
      <c r="D326" s="3" t="s">
        <v>1237</v>
      </c>
      <c r="E326" s="3" t="s">
        <v>32</v>
      </c>
      <c r="F326" s="1">
        <v>43136</v>
      </c>
      <c r="G326">
        <v>8</v>
      </c>
      <c r="H326" s="3" t="s">
        <v>907</v>
      </c>
      <c r="I326" s="3" t="s">
        <v>41</v>
      </c>
      <c r="J326" s="3" t="s">
        <v>18</v>
      </c>
      <c r="K326" s="3" t="s">
        <v>36</v>
      </c>
      <c r="L326">
        <v>3450</v>
      </c>
      <c r="M326" s="3" t="s">
        <v>913</v>
      </c>
      <c r="N326">
        <v>41400</v>
      </c>
      <c r="O326">
        <v>5175</v>
      </c>
      <c r="P326">
        <v>2</v>
      </c>
      <c r="Q326" s="3" t="s">
        <v>909</v>
      </c>
      <c r="R326">
        <v>0</v>
      </c>
      <c r="S326">
        <v>4</v>
      </c>
      <c r="T326" s="3" t="s">
        <v>908</v>
      </c>
      <c r="U326">
        <v>9</v>
      </c>
      <c r="V326" s="3" t="s">
        <v>917</v>
      </c>
    </row>
    <row r="327" spans="1:22" x14ac:dyDescent="0.3">
      <c r="A327">
        <v>326</v>
      </c>
      <c r="B327" s="3" t="s">
        <v>33</v>
      </c>
      <c r="C327" s="3" t="s">
        <v>510</v>
      </c>
      <c r="D327" s="3" t="s">
        <v>1238</v>
      </c>
      <c r="E327" s="3" t="s">
        <v>32</v>
      </c>
      <c r="F327" s="1">
        <v>43362</v>
      </c>
      <c r="G327">
        <v>7</v>
      </c>
      <c r="H327" s="3" t="s">
        <v>907</v>
      </c>
      <c r="I327" s="3" t="s">
        <v>353</v>
      </c>
      <c r="J327" s="3" t="s">
        <v>29</v>
      </c>
      <c r="K327" s="3" t="s">
        <v>42</v>
      </c>
      <c r="L327">
        <v>1226</v>
      </c>
      <c r="M327" s="3" t="s">
        <v>909</v>
      </c>
      <c r="N327">
        <v>14712</v>
      </c>
      <c r="O327">
        <v>2101.7142857142858</v>
      </c>
      <c r="P327">
        <v>2</v>
      </c>
      <c r="Q327" s="3" t="s">
        <v>909</v>
      </c>
      <c r="R327">
        <v>6</v>
      </c>
      <c r="S327">
        <v>5</v>
      </c>
      <c r="T327" s="3" t="s">
        <v>913</v>
      </c>
      <c r="U327">
        <v>4</v>
      </c>
      <c r="V327" s="3" t="s">
        <v>917</v>
      </c>
    </row>
    <row r="328" spans="1:22" x14ac:dyDescent="0.3">
      <c r="A328">
        <v>327</v>
      </c>
      <c r="B328" s="3" t="s">
        <v>33</v>
      </c>
      <c r="C328" s="3" t="s">
        <v>64</v>
      </c>
      <c r="D328" s="3" t="s">
        <v>1010</v>
      </c>
      <c r="E328" s="3" t="s">
        <v>32</v>
      </c>
      <c r="F328" s="1">
        <v>43707</v>
      </c>
      <c r="G328">
        <v>7</v>
      </c>
      <c r="H328" s="3" t="s">
        <v>907</v>
      </c>
      <c r="I328" s="3" t="s">
        <v>77</v>
      </c>
      <c r="J328" s="3" t="s">
        <v>18</v>
      </c>
      <c r="K328" s="3" t="s">
        <v>36</v>
      </c>
      <c r="L328">
        <v>3219</v>
      </c>
      <c r="M328" s="3" t="s">
        <v>913</v>
      </c>
      <c r="N328">
        <v>38628</v>
      </c>
      <c r="O328">
        <v>5518.2857142857147</v>
      </c>
      <c r="P328">
        <v>3</v>
      </c>
      <c r="Q328" s="3" t="s">
        <v>908</v>
      </c>
      <c r="R328">
        <v>0</v>
      </c>
      <c r="S328">
        <v>0</v>
      </c>
      <c r="T328" s="3" t="s">
        <v>916</v>
      </c>
      <c r="U328">
        <v>5</v>
      </c>
      <c r="V328" s="3" t="s">
        <v>917</v>
      </c>
    </row>
    <row r="329" spans="1:22" x14ac:dyDescent="0.3">
      <c r="A329">
        <v>328</v>
      </c>
      <c r="B329" s="3" t="s">
        <v>170</v>
      </c>
      <c r="C329" s="3" t="s">
        <v>511</v>
      </c>
      <c r="D329" s="3" t="s">
        <v>1239</v>
      </c>
      <c r="E329" s="3" t="s">
        <v>32</v>
      </c>
      <c r="F329" s="1">
        <v>43574</v>
      </c>
      <c r="G329">
        <v>7</v>
      </c>
      <c r="H329" s="3" t="s">
        <v>907</v>
      </c>
      <c r="I329" s="3" t="s">
        <v>17</v>
      </c>
      <c r="J329" s="3" t="s">
        <v>22</v>
      </c>
      <c r="K329" s="3" t="s">
        <v>42</v>
      </c>
      <c r="L329">
        <v>2060</v>
      </c>
      <c r="M329" s="3" t="s">
        <v>908</v>
      </c>
      <c r="N329">
        <v>24720</v>
      </c>
      <c r="O329">
        <v>3531.4285714285716</v>
      </c>
      <c r="P329">
        <v>5</v>
      </c>
      <c r="Q329" s="3" t="s">
        <v>913</v>
      </c>
      <c r="R329">
        <v>0</v>
      </c>
      <c r="S329">
        <v>0</v>
      </c>
      <c r="T329" s="3" t="s">
        <v>916</v>
      </c>
      <c r="U329">
        <v>14</v>
      </c>
      <c r="V329" s="3" t="s">
        <v>910</v>
      </c>
    </row>
    <row r="330" spans="1:22" x14ac:dyDescent="0.3">
      <c r="A330">
        <v>329</v>
      </c>
      <c r="B330" s="3" t="s">
        <v>37</v>
      </c>
      <c r="C330" s="3" t="s">
        <v>512</v>
      </c>
      <c r="D330" s="3" t="s">
        <v>1240</v>
      </c>
      <c r="E330" s="3" t="s">
        <v>307</v>
      </c>
      <c r="F330" s="1">
        <v>43483</v>
      </c>
      <c r="G330">
        <v>7</v>
      </c>
      <c r="H330" s="3" t="s">
        <v>907</v>
      </c>
      <c r="I330" s="3" t="s">
        <v>50</v>
      </c>
      <c r="J330" s="3" t="s">
        <v>48</v>
      </c>
      <c r="K330" s="3" t="s">
        <v>42</v>
      </c>
      <c r="L330">
        <v>2479</v>
      </c>
      <c r="M330" s="3" t="s">
        <v>908</v>
      </c>
      <c r="N330">
        <v>29748</v>
      </c>
      <c r="O330">
        <v>4249.7142857142853</v>
      </c>
      <c r="P330">
        <v>5</v>
      </c>
      <c r="Q330" s="3" t="s">
        <v>913</v>
      </c>
      <c r="R330">
        <v>0</v>
      </c>
      <c r="S330">
        <v>2</v>
      </c>
      <c r="T330" s="3" t="s">
        <v>909</v>
      </c>
      <c r="U330">
        <v>3</v>
      </c>
      <c r="V330" s="3" t="s">
        <v>917</v>
      </c>
    </row>
    <row r="331" spans="1:22" x14ac:dyDescent="0.3">
      <c r="A331">
        <v>330</v>
      </c>
      <c r="B331" s="3" t="s">
        <v>375</v>
      </c>
      <c r="C331" s="3" t="s">
        <v>513</v>
      </c>
      <c r="D331" s="3" t="s">
        <v>1241</v>
      </c>
      <c r="E331" s="3" t="s">
        <v>307</v>
      </c>
      <c r="F331" s="1">
        <v>43248</v>
      </c>
      <c r="G331">
        <v>8</v>
      </c>
      <c r="H331" s="3" t="s">
        <v>907</v>
      </c>
      <c r="I331" s="3" t="s">
        <v>35</v>
      </c>
      <c r="J331" s="3" t="s">
        <v>29</v>
      </c>
      <c r="K331" s="3" t="s">
        <v>42</v>
      </c>
      <c r="L331">
        <v>2106</v>
      </c>
      <c r="M331" s="3" t="s">
        <v>908</v>
      </c>
      <c r="N331">
        <v>25272</v>
      </c>
      <c r="O331">
        <v>3159</v>
      </c>
      <c r="P331">
        <v>3</v>
      </c>
      <c r="Q331" s="3" t="s">
        <v>908</v>
      </c>
      <c r="R331">
        <v>0</v>
      </c>
      <c r="S331">
        <v>0</v>
      </c>
      <c r="T331" s="3" t="s">
        <v>916</v>
      </c>
      <c r="U331">
        <v>9</v>
      </c>
      <c r="V331" s="3" t="s">
        <v>917</v>
      </c>
    </row>
    <row r="332" spans="1:22" x14ac:dyDescent="0.3">
      <c r="A332">
        <v>331</v>
      </c>
      <c r="B332" s="3" t="s">
        <v>295</v>
      </c>
      <c r="C332" s="3" t="s">
        <v>514</v>
      </c>
      <c r="D332" s="3" t="s">
        <v>1242</v>
      </c>
      <c r="E332" s="3" t="s">
        <v>307</v>
      </c>
      <c r="F332" s="1">
        <v>43623</v>
      </c>
      <c r="G332">
        <v>7</v>
      </c>
      <c r="H332" s="3" t="s">
        <v>907</v>
      </c>
      <c r="I332" s="3" t="s">
        <v>28</v>
      </c>
      <c r="J332" s="3" t="s">
        <v>22</v>
      </c>
      <c r="K332" s="3" t="s">
        <v>60</v>
      </c>
      <c r="L332">
        <v>1480</v>
      </c>
      <c r="M332" s="3" t="s">
        <v>909</v>
      </c>
      <c r="N332">
        <v>17760</v>
      </c>
      <c r="O332">
        <v>2537.1428571428573</v>
      </c>
      <c r="P332">
        <v>2</v>
      </c>
      <c r="Q332" s="3" t="s">
        <v>909</v>
      </c>
      <c r="R332">
        <v>0</v>
      </c>
      <c r="S332">
        <v>0</v>
      </c>
      <c r="T332" s="3" t="s">
        <v>916</v>
      </c>
      <c r="U332">
        <v>10</v>
      </c>
      <c r="V332" s="3" t="s">
        <v>917</v>
      </c>
    </row>
    <row r="333" spans="1:22" x14ac:dyDescent="0.3">
      <c r="A333">
        <v>332</v>
      </c>
      <c r="B333" s="3" t="s">
        <v>515</v>
      </c>
      <c r="C333" s="3" t="s">
        <v>516</v>
      </c>
      <c r="D333" s="3" t="s">
        <v>1243</v>
      </c>
      <c r="E333" s="3" t="s">
        <v>307</v>
      </c>
      <c r="F333" s="1">
        <v>43058</v>
      </c>
      <c r="G333">
        <v>8</v>
      </c>
      <c r="H333" s="3" t="s">
        <v>907</v>
      </c>
      <c r="I333" s="3" t="s">
        <v>28</v>
      </c>
      <c r="J333" s="3" t="s">
        <v>18</v>
      </c>
      <c r="K333" s="3" t="s">
        <v>19</v>
      </c>
      <c r="L333">
        <v>994</v>
      </c>
      <c r="M333" s="3" t="s">
        <v>909</v>
      </c>
      <c r="N333">
        <v>11928</v>
      </c>
      <c r="O333">
        <v>1491</v>
      </c>
      <c r="P333">
        <v>1</v>
      </c>
      <c r="Q333" s="3" t="s">
        <v>909</v>
      </c>
      <c r="R333">
        <v>0</v>
      </c>
      <c r="S333">
        <v>0</v>
      </c>
      <c r="T333" s="3" t="s">
        <v>916</v>
      </c>
      <c r="U333">
        <v>9</v>
      </c>
      <c r="V333" s="3" t="s">
        <v>917</v>
      </c>
    </row>
    <row r="334" spans="1:22" x14ac:dyDescent="0.3">
      <c r="A334">
        <v>333</v>
      </c>
      <c r="B334" s="3" t="s">
        <v>30</v>
      </c>
      <c r="C334" s="3" t="s">
        <v>517</v>
      </c>
      <c r="D334" s="3" t="s">
        <v>1244</v>
      </c>
      <c r="E334" s="3" t="s">
        <v>32</v>
      </c>
      <c r="F334" s="1">
        <v>43797</v>
      </c>
      <c r="G334">
        <v>6</v>
      </c>
      <c r="H334" s="3" t="s">
        <v>912</v>
      </c>
      <c r="I334" s="3" t="s">
        <v>53</v>
      </c>
      <c r="J334" s="3" t="s">
        <v>29</v>
      </c>
      <c r="K334" s="3" t="s">
        <v>42</v>
      </c>
      <c r="L334">
        <v>2119</v>
      </c>
      <c r="M334" s="3" t="s">
        <v>908</v>
      </c>
      <c r="N334">
        <v>25428</v>
      </c>
      <c r="O334">
        <v>4238</v>
      </c>
      <c r="P334">
        <v>4.5</v>
      </c>
      <c r="Q334" s="3" t="s">
        <v>913</v>
      </c>
      <c r="R334">
        <v>1</v>
      </c>
      <c r="S334">
        <v>5</v>
      </c>
      <c r="T334" s="3" t="s">
        <v>908</v>
      </c>
      <c r="U334">
        <v>0</v>
      </c>
      <c r="V334" s="3" t="s">
        <v>955</v>
      </c>
    </row>
    <row r="335" spans="1:22" x14ac:dyDescent="0.3">
      <c r="A335">
        <v>334</v>
      </c>
      <c r="B335" s="3" t="s">
        <v>518</v>
      </c>
      <c r="C335" s="3" t="s">
        <v>519</v>
      </c>
      <c r="D335" s="3" t="s">
        <v>1245</v>
      </c>
      <c r="E335" s="3" t="s">
        <v>32</v>
      </c>
      <c r="F335" s="1">
        <v>43378</v>
      </c>
      <c r="G335">
        <v>7</v>
      </c>
      <c r="H335" s="3" t="s">
        <v>907</v>
      </c>
      <c r="I335" s="3" t="s">
        <v>50</v>
      </c>
      <c r="J335" s="3" t="s">
        <v>18</v>
      </c>
      <c r="K335" s="3" t="s">
        <v>42</v>
      </c>
      <c r="L335">
        <v>1577</v>
      </c>
      <c r="M335" s="3" t="s">
        <v>908</v>
      </c>
      <c r="N335">
        <v>18924</v>
      </c>
      <c r="O335">
        <v>2703.4285714285716</v>
      </c>
      <c r="P335">
        <v>4.5</v>
      </c>
      <c r="Q335" s="3" t="s">
        <v>913</v>
      </c>
      <c r="R335">
        <v>0</v>
      </c>
      <c r="S335">
        <v>0</v>
      </c>
      <c r="T335" s="3" t="s">
        <v>916</v>
      </c>
      <c r="U335">
        <v>7</v>
      </c>
      <c r="V335" s="3" t="s">
        <v>917</v>
      </c>
    </row>
    <row r="336" spans="1:22" x14ac:dyDescent="0.3">
      <c r="A336">
        <v>335</v>
      </c>
      <c r="B336" s="3" t="s">
        <v>49</v>
      </c>
      <c r="C336" s="3" t="s">
        <v>520</v>
      </c>
      <c r="D336" s="3" t="s">
        <v>1246</v>
      </c>
      <c r="E336" s="3" t="s">
        <v>32</v>
      </c>
      <c r="F336" s="1">
        <v>43224</v>
      </c>
      <c r="G336">
        <v>8</v>
      </c>
      <c r="H336" s="3" t="s">
        <v>907</v>
      </c>
      <c r="I336" s="3" t="s">
        <v>17</v>
      </c>
      <c r="J336" s="3" t="s">
        <v>29</v>
      </c>
      <c r="K336" s="3" t="s">
        <v>42</v>
      </c>
      <c r="L336">
        <v>3160</v>
      </c>
      <c r="M336" s="3" t="s">
        <v>913</v>
      </c>
      <c r="N336">
        <v>37920</v>
      </c>
      <c r="O336">
        <v>4740</v>
      </c>
      <c r="P336">
        <v>5</v>
      </c>
      <c r="Q336" s="3" t="s">
        <v>913</v>
      </c>
      <c r="R336">
        <v>0</v>
      </c>
      <c r="S336">
        <v>5</v>
      </c>
      <c r="T336" s="3" t="s">
        <v>908</v>
      </c>
      <c r="U336">
        <v>10</v>
      </c>
      <c r="V336" s="3" t="s">
        <v>917</v>
      </c>
    </row>
    <row r="337" spans="1:22" x14ac:dyDescent="0.3">
      <c r="A337">
        <v>336</v>
      </c>
      <c r="B337" s="3" t="s">
        <v>64</v>
      </c>
      <c r="C337" s="3" t="s">
        <v>521</v>
      </c>
      <c r="D337" s="3" t="s">
        <v>1247</v>
      </c>
      <c r="E337" s="3" t="s">
        <v>32</v>
      </c>
      <c r="F337" s="1">
        <v>44123</v>
      </c>
      <c r="G337">
        <v>5</v>
      </c>
      <c r="H337" s="3" t="s">
        <v>912</v>
      </c>
      <c r="I337" s="3" t="s">
        <v>88</v>
      </c>
      <c r="J337" s="3" t="s">
        <v>22</v>
      </c>
      <c r="K337" s="3" t="s">
        <v>42</v>
      </c>
      <c r="L337">
        <v>2692</v>
      </c>
      <c r="M337" s="3" t="s">
        <v>913</v>
      </c>
      <c r="N337">
        <v>32304</v>
      </c>
      <c r="O337">
        <v>6460.8</v>
      </c>
      <c r="P337">
        <v>1</v>
      </c>
      <c r="Q337" s="3" t="s">
        <v>909</v>
      </c>
      <c r="R337">
        <v>4</v>
      </c>
      <c r="S337">
        <v>0</v>
      </c>
      <c r="T337" s="3" t="s">
        <v>908</v>
      </c>
      <c r="U337">
        <v>6</v>
      </c>
      <c r="V337" s="3" t="s">
        <v>917</v>
      </c>
    </row>
    <row r="338" spans="1:22" x14ac:dyDescent="0.3">
      <c r="A338">
        <v>337</v>
      </c>
      <c r="B338" s="3" t="s">
        <v>522</v>
      </c>
      <c r="C338" s="3" t="s">
        <v>523</v>
      </c>
      <c r="D338" s="3" t="s">
        <v>1248</v>
      </c>
      <c r="E338" s="3" t="s">
        <v>32</v>
      </c>
      <c r="F338" s="1">
        <v>43430</v>
      </c>
      <c r="G338">
        <v>7</v>
      </c>
      <c r="H338" s="3" t="s">
        <v>907</v>
      </c>
      <c r="I338" s="3" t="s">
        <v>41</v>
      </c>
      <c r="J338" s="3" t="s">
        <v>29</v>
      </c>
      <c r="K338" s="3" t="s">
        <v>60</v>
      </c>
      <c r="L338">
        <v>1448</v>
      </c>
      <c r="M338" s="3" t="s">
        <v>909</v>
      </c>
      <c r="N338">
        <v>17376</v>
      </c>
      <c r="O338">
        <v>2482.2857142857142</v>
      </c>
      <c r="P338">
        <v>4.5</v>
      </c>
      <c r="Q338" s="3" t="s">
        <v>913</v>
      </c>
      <c r="R338">
        <v>0</v>
      </c>
      <c r="S338">
        <v>0</v>
      </c>
      <c r="T338" s="3" t="s">
        <v>916</v>
      </c>
      <c r="U338">
        <v>1</v>
      </c>
      <c r="V338" s="3" t="s">
        <v>917</v>
      </c>
    </row>
    <row r="339" spans="1:22" x14ac:dyDescent="0.3">
      <c r="A339">
        <v>338</v>
      </c>
      <c r="B339" s="3" t="s">
        <v>524</v>
      </c>
      <c r="C339" s="3" t="s">
        <v>525</v>
      </c>
      <c r="D339" s="3" t="s">
        <v>1249</v>
      </c>
      <c r="E339" s="3" t="s">
        <v>307</v>
      </c>
      <c r="F339" s="1">
        <v>43541</v>
      </c>
      <c r="G339">
        <v>7</v>
      </c>
      <c r="H339" s="3" t="s">
        <v>907</v>
      </c>
      <c r="I339" s="3" t="s">
        <v>28</v>
      </c>
      <c r="J339" s="3" t="s">
        <v>18</v>
      </c>
      <c r="K339" s="3" t="s">
        <v>19</v>
      </c>
      <c r="L339">
        <v>1568</v>
      </c>
      <c r="M339" s="3" t="s">
        <v>908</v>
      </c>
      <c r="N339">
        <v>18816</v>
      </c>
      <c r="O339">
        <v>2688</v>
      </c>
      <c r="P339">
        <v>3</v>
      </c>
      <c r="Q339" s="3" t="s">
        <v>908</v>
      </c>
      <c r="R339">
        <v>5</v>
      </c>
      <c r="S339">
        <v>0</v>
      </c>
      <c r="T339" s="3" t="s">
        <v>908</v>
      </c>
      <c r="U339">
        <v>7</v>
      </c>
      <c r="V339" s="3" t="s">
        <v>917</v>
      </c>
    </row>
    <row r="340" spans="1:22" x14ac:dyDescent="0.3">
      <c r="A340">
        <v>339</v>
      </c>
      <c r="B340" s="3" t="s">
        <v>437</v>
      </c>
      <c r="C340" s="3" t="s">
        <v>526</v>
      </c>
      <c r="D340" s="3" t="s">
        <v>1250</v>
      </c>
      <c r="E340" s="3" t="s">
        <v>32</v>
      </c>
      <c r="F340" s="1">
        <v>42724</v>
      </c>
      <c r="G340">
        <v>9</v>
      </c>
      <c r="H340" s="3" t="s">
        <v>920</v>
      </c>
      <c r="I340" s="3" t="s">
        <v>53</v>
      </c>
      <c r="J340" s="3" t="s">
        <v>18</v>
      </c>
      <c r="K340" s="3" t="s">
        <v>36</v>
      </c>
      <c r="L340">
        <v>1823</v>
      </c>
      <c r="M340" s="3" t="s">
        <v>908</v>
      </c>
      <c r="N340">
        <v>21876</v>
      </c>
      <c r="O340">
        <v>2430.6666666666665</v>
      </c>
      <c r="P340">
        <v>4.5</v>
      </c>
      <c r="Q340" s="3" t="s">
        <v>913</v>
      </c>
      <c r="R340">
        <v>5</v>
      </c>
      <c r="S340">
        <v>0</v>
      </c>
      <c r="T340" s="3" t="s">
        <v>908</v>
      </c>
      <c r="U340">
        <v>9</v>
      </c>
      <c r="V340" s="3" t="s">
        <v>917</v>
      </c>
    </row>
    <row r="341" spans="1:22" x14ac:dyDescent="0.3">
      <c r="A341">
        <v>340</v>
      </c>
      <c r="B341" s="3" t="s">
        <v>527</v>
      </c>
      <c r="C341" s="3" t="s">
        <v>528</v>
      </c>
      <c r="D341" s="3" t="s">
        <v>1251</v>
      </c>
      <c r="E341" s="3" t="s">
        <v>32</v>
      </c>
      <c r="F341" s="1">
        <v>43512</v>
      </c>
      <c r="G341">
        <v>7</v>
      </c>
      <c r="H341" s="3" t="s">
        <v>907</v>
      </c>
      <c r="I341" s="3" t="s">
        <v>28</v>
      </c>
      <c r="J341" s="3" t="s">
        <v>18</v>
      </c>
      <c r="K341" s="3" t="s">
        <v>19</v>
      </c>
      <c r="L341">
        <v>1712</v>
      </c>
      <c r="M341" s="3" t="s">
        <v>908</v>
      </c>
      <c r="N341">
        <v>20544</v>
      </c>
      <c r="O341">
        <v>2934.8571428571427</v>
      </c>
      <c r="P341">
        <v>4.5</v>
      </c>
      <c r="Q341" s="3" t="s">
        <v>913</v>
      </c>
      <c r="R341">
        <v>0</v>
      </c>
      <c r="S341">
        <v>4</v>
      </c>
      <c r="T341" s="3" t="s">
        <v>908</v>
      </c>
      <c r="U341">
        <v>15</v>
      </c>
      <c r="V341" s="3" t="s">
        <v>910</v>
      </c>
    </row>
    <row r="342" spans="1:22" x14ac:dyDescent="0.3">
      <c r="A342">
        <v>341</v>
      </c>
      <c r="B342" s="3" t="s">
        <v>529</v>
      </c>
      <c r="C342" s="3" t="s">
        <v>530</v>
      </c>
      <c r="D342" s="3" t="s">
        <v>1252</v>
      </c>
      <c r="E342" s="3" t="s">
        <v>32</v>
      </c>
      <c r="F342" s="1">
        <v>44134</v>
      </c>
      <c r="G342">
        <v>5</v>
      </c>
      <c r="H342" s="3" t="s">
        <v>912</v>
      </c>
      <c r="I342" s="3" t="s">
        <v>35</v>
      </c>
      <c r="J342" s="3" t="s">
        <v>29</v>
      </c>
      <c r="K342" s="3" t="s">
        <v>60</v>
      </c>
      <c r="L342">
        <v>744</v>
      </c>
      <c r="M342" s="3" t="s">
        <v>909</v>
      </c>
      <c r="N342">
        <v>8928</v>
      </c>
      <c r="O342">
        <v>1785.6</v>
      </c>
      <c r="P342">
        <v>5</v>
      </c>
      <c r="Q342" s="3" t="s">
        <v>913</v>
      </c>
      <c r="R342">
        <v>5</v>
      </c>
      <c r="S342">
        <v>0</v>
      </c>
      <c r="T342" s="3" t="s">
        <v>908</v>
      </c>
      <c r="U342">
        <v>8</v>
      </c>
      <c r="V342" s="3" t="s">
        <v>917</v>
      </c>
    </row>
    <row r="343" spans="1:22" x14ac:dyDescent="0.3">
      <c r="A343">
        <v>342</v>
      </c>
      <c r="B343" s="3" t="s">
        <v>531</v>
      </c>
      <c r="C343" s="3" t="s">
        <v>532</v>
      </c>
      <c r="D343" s="3" t="s">
        <v>1253</v>
      </c>
      <c r="E343" s="3" t="s">
        <v>307</v>
      </c>
      <c r="F343" s="1">
        <v>42945</v>
      </c>
      <c r="G343">
        <v>9</v>
      </c>
      <c r="H343" s="3" t="s">
        <v>920</v>
      </c>
      <c r="I343" s="3" t="s">
        <v>28</v>
      </c>
      <c r="J343" s="3" t="s">
        <v>18</v>
      </c>
      <c r="K343" s="3" t="s">
        <v>36</v>
      </c>
      <c r="L343">
        <v>2972</v>
      </c>
      <c r="M343" s="3" t="s">
        <v>913</v>
      </c>
      <c r="N343">
        <v>35664</v>
      </c>
      <c r="O343">
        <v>3962.6666666666665</v>
      </c>
      <c r="P343">
        <v>5</v>
      </c>
      <c r="Q343" s="3" t="s">
        <v>913</v>
      </c>
      <c r="R343">
        <v>0</v>
      </c>
      <c r="S343">
        <v>4</v>
      </c>
      <c r="T343" s="3" t="s">
        <v>908</v>
      </c>
      <c r="U343">
        <v>2</v>
      </c>
      <c r="V343" s="3" t="s">
        <v>917</v>
      </c>
    </row>
    <row r="344" spans="1:22" x14ac:dyDescent="0.3">
      <c r="A344">
        <v>343</v>
      </c>
      <c r="B344" s="3" t="s">
        <v>457</v>
      </c>
      <c r="C344" s="3" t="s">
        <v>533</v>
      </c>
      <c r="D344" s="3" t="s">
        <v>1254</v>
      </c>
      <c r="E344" s="3" t="s">
        <v>32</v>
      </c>
      <c r="F344" s="1">
        <v>43785</v>
      </c>
      <c r="G344">
        <v>6</v>
      </c>
      <c r="H344" s="3" t="s">
        <v>912</v>
      </c>
      <c r="I344" s="3" t="s">
        <v>41</v>
      </c>
      <c r="J344" s="3" t="s">
        <v>18</v>
      </c>
      <c r="K344" s="3" t="s">
        <v>36</v>
      </c>
      <c r="L344">
        <v>2931</v>
      </c>
      <c r="M344" s="3" t="s">
        <v>913</v>
      </c>
      <c r="N344">
        <v>35172</v>
      </c>
      <c r="O344">
        <v>5862</v>
      </c>
      <c r="P344">
        <v>3</v>
      </c>
      <c r="Q344" s="3" t="s">
        <v>908</v>
      </c>
      <c r="R344">
        <v>6</v>
      </c>
      <c r="S344">
        <v>0</v>
      </c>
      <c r="T344" s="3" t="s">
        <v>908</v>
      </c>
      <c r="U344">
        <v>71</v>
      </c>
      <c r="V344" s="3" t="s">
        <v>910</v>
      </c>
    </row>
    <row r="345" spans="1:22" x14ac:dyDescent="0.3">
      <c r="A345">
        <v>344</v>
      </c>
      <c r="B345" s="3" t="s">
        <v>195</v>
      </c>
      <c r="C345" s="3" t="s">
        <v>534</v>
      </c>
      <c r="D345" s="3" t="s">
        <v>1255</v>
      </c>
      <c r="E345" s="3" t="s">
        <v>32</v>
      </c>
      <c r="F345" s="1">
        <v>43301</v>
      </c>
      <c r="G345">
        <v>8</v>
      </c>
      <c r="H345" s="3" t="s">
        <v>907</v>
      </c>
      <c r="I345" s="3" t="s">
        <v>118</v>
      </c>
      <c r="J345" s="3" t="s">
        <v>48</v>
      </c>
      <c r="K345" s="3" t="s">
        <v>19</v>
      </c>
      <c r="L345">
        <v>2544</v>
      </c>
      <c r="M345" s="3" t="s">
        <v>913</v>
      </c>
      <c r="N345">
        <v>30528</v>
      </c>
      <c r="O345">
        <v>3816</v>
      </c>
      <c r="P345">
        <v>3</v>
      </c>
      <c r="Q345" s="3" t="s">
        <v>908</v>
      </c>
      <c r="R345">
        <v>0</v>
      </c>
      <c r="S345">
        <v>0</v>
      </c>
      <c r="T345" s="3" t="s">
        <v>916</v>
      </c>
      <c r="U345">
        <v>2</v>
      </c>
      <c r="V345" s="3" t="s">
        <v>917</v>
      </c>
    </row>
    <row r="346" spans="1:22" x14ac:dyDescent="0.3">
      <c r="A346">
        <v>345</v>
      </c>
      <c r="B346" s="3" t="s">
        <v>535</v>
      </c>
      <c r="C346" s="3" t="s">
        <v>536</v>
      </c>
      <c r="D346" s="3" t="s">
        <v>1256</v>
      </c>
      <c r="E346" s="3" t="s">
        <v>32</v>
      </c>
      <c r="F346" s="1">
        <v>42605</v>
      </c>
      <c r="G346">
        <v>10</v>
      </c>
      <c r="H346" s="3" t="s">
        <v>920</v>
      </c>
      <c r="I346" s="3" t="s">
        <v>28</v>
      </c>
      <c r="J346" s="3" t="s">
        <v>22</v>
      </c>
      <c r="K346" s="3" t="s">
        <v>42</v>
      </c>
      <c r="L346">
        <v>1595</v>
      </c>
      <c r="M346" s="3" t="s">
        <v>908</v>
      </c>
      <c r="N346">
        <v>19140</v>
      </c>
      <c r="O346">
        <v>1914</v>
      </c>
      <c r="P346">
        <v>5</v>
      </c>
      <c r="Q346" s="3" t="s">
        <v>913</v>
      </c>
      <c r="R346">
        <v>0</v>
      </c>
      <c r="S346">
        <v>0</v>
      </c>
      <c r="T346" s="3" t="s">
        <v>916</v>
      </c>
      <c r="U346">
        <v>0</v>
      </c>
      <c r="V346" s="3" t="s">
        <v>955</v>
      </c>
    </row>
    <row r="347" spans="1:22" x14ac:dyDescent="0.3">
      <c r="A347">
        <v>346</v>
      </c>
      <c r="B347" s="3" t="s">
        <v>524</v>
      </c>
      <c r="C347" s="3" t="s">
        <v>537</v>
      </c>
      <c r="D347" s="3" t="s">
        <v>1257</v>
      </c>
      <c r="E347" s="3" t="s">
        <v>307</v>
      </c>
      <c r="F347" s="1">
        <v>43439</v>
      </c>
      <c r="G347">
        <v>7</v>
      </c>
      <c r="H347" s="3" t="s">
        <v>907</v>
      </c>
      <c r="I347" s="3" t="s">
        <v>41</v>
      </c>
      <c r="J347" s="3" t="s">
        <v>48</v>
      </c>
      <c r="K347" s="3" t="s">
        <v>19</v>
      </c>
      <c r="L347">
        <v>1326</v>
      </c>
      <c r="M347" s="3" t="s">
        <v>909</v>
      </c>
      <c r="N347">
        <v>15912</v>
      </c>
      <c r="O347">
        <v>2273.1428571428573</v>
      </c>
      <c r="P347">
        <v>3</v>
      </c>
      <c r="Q347" s="3" t="s">
        <v>908</v>
      </c>
      <c r="R347">
        <v>0</v>
      </c>
      <c r="S347">
        <v>3</v>
      </c>
      <c r="T347" s="3" t="s">
        <v>909</v>
      </c>
      <c r="U347">
        <v>7</v>
      </c>
      <c r="V347" s="3" t="s">
        <v>917</v>
      </c>
    </row>
    <row r="348" spans="1:22" x14ac:dyDescent="0.3">
      <c r="A348">
        <v>347</v>
      </c>
      <c r="B348" s="3" t="s">
        <v>20</v>
      </c>
      <c r="C348" s="3" t="s">
        <v>538</v>
      </c>
      <c r="D348" s="3" t="s">
        <v>1258</v>
      </c>
      <c r="E348" s="3" t="s">
        <v>32</v>
      </c>
      <c r="F348" s="1">
        <v>43492</v>
      </c>
      <c r="G348">
        <v>7</v>
      </c>
      <c r="H348" s="3" t="s">
        <v>907</v>
      </c>
      <c r="I348" s="3" t="s">
        <v>58</v>
      </c>
      <c r="J348" s="3" t="s">
        <v>18</v>
      </c>
      <c r="K348" s="3" t="s">
        <v>42</v>
      </c>
      <c r="L348">
        <v>3117</v>
      </c>
      <c r="M348" s="3" t="s">
        <v>913</v>
      </c>
      <c r="N348">
        <v>37404</v>
      </c>
      <c r="O348">
        <v>5343.4285714285716</v>
      </c>
      <c r="P348">
        <v>3</v>
      </c>
      <c r="Q348" s="3" t="s">
        <v>908</v>
      </c>
      <c r="R348">
        <v>0</v>
      </c>
      <c r="S348">
        <v>4</v>
      </c>
      <c r="T348" s="3" t="s">
        <v>908</v>
      </c>
      <c r="U348">
        <v>0</v>
      </c>
      <c r="V348" s="3" t="s">
        <v>955</v>
      </c>
    </row>
    <row r="349" spans="1:22" x14ac:dyDescent="0.3">
      <c r="A349">
        <v>348</v>
      </c>
      <c r="B349" s="3" t="s">
        <v>539</v>
      </c>
      <c r="C349" s="3" t="s">
        <v>540</v>
      </c>
      <c r="D349" s="3" t="s">
        <v>1259</v>
      </c>
      <c r="E349" s="3" t="s">
        <v>307</v>
      </c>
      <c r="F349" s="1">
        <v>43507</v>
      </c>
      <c r="G349">
        <v>7</v>
      </c>
      <c r="H349" s="3" t="s">
        <v>907</v>
      </c>
      <c r="I349" s="3" t="s">
        <v>25</v>
      </c>
      <c r="J349" s="3" t="s">
        <v>18</v>
      </c>
      <c r="K349" s="3" t="s">
        <v>19</v>
      </c>
      <c r="L349">
        <v>3446</v>
      </c>
      <c r="M349" s="3" t="s">
        <v>913</v>
      </c>
      <c r="N349">
        <v>41352</v>
      </c>
      <c r="O349">
        <v>5907.4285714285716</v>
      </c>
      <c r="P349">
        <v>5</v>
      </c>
      <c r="Q349" s="3" t="s">
        <v>913</v>
      </c>
      <c r="R349">
        <v>0</v>
      </c>
      <c r="S349">
        <v>0</v>
      </c>
      <c r="T349" s="3" t="s">
        <v>916</v>
      </c>
      <c r="U349">
        <v>10</v>
      </c>
      <c r="V349" s="3" t="s">
        <v>917</v>
      </c>
    </row>
    <row r="350" spans="1:22" x14ac:dyDescent="0.3">
      <c r="A350">
        <v>349</v>
      </c>
      <c r="B350" s="3" t="s">
        <v>20</v>
      </c>
      <c r="C350" s="3" t="s">
        <v>541</v>
      </c>
      <c r="D350" s="3" t="s">
        <v>1260</v>
      </c>
      <c r="E350" s="3" t="s">
        <v>32</v>
      </c>
      <c r="F350" s="1">
        <v>43476</v>
      </c>
      <c r="G350">
        <v>7</v>
      </c>
      <c r="H350" s="3" t="s">
        <v>907</v>
      </c>
      <c r="I350" s="3" t="s">
        <v>28</v>
      </c>
      <c r="J350" s="3" t="s">
        <v>29</v>
      </c>
      <c r="K350" s="3" t="s">
        <v>19</v>
      </c>
      <c r="L350">
        <v>2023</v>
      </c>
      <c r="M350" s="3" t="s">
        <v>908</v>
      </c>
      <c r="N350">
        <v>24276</v>
      </c>
      <c r="O350">
        <v>3468</v>
      </c>
      <c r="P350">
        <v>4.5</v>
      </c>
      <c r="Q350" s="3" t="s">
        <v>913</v>
      </c>
      <c r="R350">
        <v>6</v>
      </c>
      <c r="S350">
        <v>0</v>
      </c>
      <c r="T350" s="3" t="s">
        <v>908</v>
      </c>
      <c r="U350">
        <v>6</v>
      </c>
      <c r="V350" s="3" t="s">
        <v>917</v>
      </c>
    </row>
    <row r="351" spans="1:22" x14ac:dyDescent="0.3">
      <c r="A351">
        <v>350</v>
      </c>
      <c r="B351" s="3" t="s">
        <v>186</v>
      </c>
      <c r="C351" s="3" t="s">
        <v>542</v>
      </c>
      <c r="D351" s="3" t="s">
        <v>1261</v>
      </c>
      <c r="E351" s="3" t="s">
        <v>32</v>
      </c>
      <c r="F351" s="1">
        <v>44044</v>
      </c>
      <c r="G351">
        <v>6</v>
      </c>
      <c r="H351" s="3" t="s">
        <v>912</v>
      </c>
      <c r="I351" s="3" t="s">
        <v>77</v>
      </c>
      <c r="J351" s="3" t="s">
        <v>18</v>
      </c>
      <c r="K351" s="3" t="s">
        <v>36</v>
      </c>
      <c r="L351">
        <v>979</v>
      </c>
      <c r="M351" s="3" t="s">
        <v>909</v>
      </c>
      <c r="N351">
        <v>11748</v>
      </c>
      <c r="O351">
        <v>1958</v>
      </c>
      <c r="P351">
        <v>3</v>
      </c>
      <c r="Q351" s="3" t="s">
        <v>908</v>
      </c>
      <c r="R351">
        <v>6</v>
      </c>
      <c r="S351">
        <v>0</v>
      </c>
      <c r="T351" s="3" t="s">
        <v>908</v>
      </c>
      <c r="U351">
        <v>4</v>
      </c>
      <c r="V351" s="3" t="s">
        <v>917</v>
      </c>
    </row>
    <row r="352" spans="1:22" x14ac:dyDescent="0.3">
      <c r="A352">
        <v>351</v>
      </c>
      <c r="B352" s="3" t="s">
        <v>543</v>
      </c>
      <c r="C352" s="3" t="s">
        <v>544</v>
      </c>
      <c r="D352" s="3" t="s">
        <v>1262</v>
      </c>
      <c r="E352" s="3" t="s">
        <v>32</v>
      </c>
      <c r="F352" s="1">
        <v>44064</v>
      </c>
      <c r="G352">
        <v>6</v>
      </c>
      <c r="H352" s="3" t="s">
        <v>912</v>
      </c>
      <c r="I352" s="3" t="s">
        <v>163</v>
      </c>
      <c r="J352" s="3" t="s">
        <v>18</v>
      </c>
      <c r="K352" s="3" t="s">
        <v>42</v>
      </c>
      <c r="L352">
        <v>1676</v>
      </c>
      <c r="M352" s="3" t="s">
        <v>908</v>
      </c>
      <c r="N352">
        <v>20112</v>
      </c>
      <c r="O352">
        <v>3352</v>
      </c>
      <c r="P352">
        <v>4.5</v>
      </c>
      <c r="Q352" s="3" t="s">
        <v>913</v>
      </c>
      <c r="R352">
        <v>0</v>
      </c>
      <c r="S352">
        <v>0</v>
      </c>
      <c r="T352" s="3" t="s">
        <v>916</v>
      </c>
      <c r="U352">
        <v>8</v>
      </c>
      <c r="V352" s="3" t="s">
        <v>917</v>
      </c>
    </row>
    <row r="353" spans="1:22" x14ac:dyDescent="0.3">
      <c r="A353">
        <v>352</v>
      </c>
      <c r="B353" s="3" t="s">
        <v>545</v>
      </c>
      <c r="C353" s="3" t="s">
        <v>546</v>
      </c>
      <c r="D353" s="3" t="s">
        <v>1263</v>
      </c>
      <c r="E353" s="3" t="s">
        <v>307</v>
      </c>
      <c r="F353" s="1">
        <v>42747</v>
      </c>
      <c r="G353">
        <v>9</v>
      </c>
      <c r="H353" s="3" t="s">
        <v>920</v>
      </c>
      <c r="I353" s="3" t="s">
        <v>39</v>
      </c>
      <c r="J353" s="3" t="s">
        <v>18</v>
      </c>
      <c r="K353" s="3" t="s">
        <v>36</v>
      </c>
      <c r="L353">
        <v>3079</v>
      </c>
      <c r="M353" s="3" t="s">
        <v>913</v>
      </c>
      <c r="N353">
        <v>36948</v>
      </c>
      <c r="O353">
        <v>4105.333333333333</v>
      </c>
      <c r="P353">
        <v>3</v>
      </c>
      <c r="Q353" s="3" t="s">
        <v>908</v>
      </c>
      <c r="R353">
        <v>0</v>
      </c>
      <c r="S353">
        <v>0</v>
      </c>
      <c r="T353" s="3" t="s">
        <v>916</v>
      </c>
      <c r="U353">
        <v>2</v>
      </c>
      <c r="V353" s="3" t="s">
        <v>917</v>
      </c>
    </row>
    <row r="354" spans="1:22" x14ac:dyDescent="0.3">
      <c r="A354">
        <v>353</v>
      </c>
      <c r="B354" s="3" t="s">
        <v>122</v>
      </c>
      <c r="C354" s="3" t="s">
        <v>165</v>
      </c>
      <c r="D354" s="3" t="s">
        <v>1264</v>
      </c>
      <c r="E354" s="3" t="s">
        <v>307</v>
      </c>
      <c r="F354" s="1">
        <v>43675</v>
      </c>
      <c r="G354">
        <v>7</v>
      </c>
      <c r="H354" s="3" t="s">
        <v>907</v>
      </c>
      <c r="I354" s="3" t="s">
        <v>50</v>
      </c>
      <c r="J354" s="3" t="s">
        <v>18</v>
      </c>
      <c r="K354" s="3" t="s">
        <v>42</v>
      </c>
      <c r="L354">
        <v>2164</v>
      </c>
      <c r="M354" s="3" t="s">
        <v>908</v>
      </c>
      <c r="N354">
        <v>25968</v>
      </c>
      <c r="O354">
        <v>3709.7142857142858</v>
      </c>
      <c r="P354">
        <v>3</v>
      </c>
      <c r="Q354" s="3" t="s">
        <v>908</v>
      </c>
      <c r="R354">
        <v>0</v>
      </c>
      <c r="S354">
        <v>2</v>
      </c>
      <c r="T354" s="3" t="s">
        <v>909</v>
      </c>
      <c r="U354">
        <v>0</v>
      </c>
      <c r="V354" s="3" t="s">
        <v>955</v>
      </c>
    </row>
    <row r="355" spans="1:22" x14ac:dyDescent="0.3">
      <c r="A355">
        <v>354</v>
      </c>
      <c r="B355" s="3" t="s">
        <v>457</v>
      </c>
      <c r="C355" s="3" t="s">
        <v>547</v>
      </c>
      <c r="D355" s="3" t="s">
        <v>1265</v>
      </c>
      <c r="E355" s="3" t="s">
        <v>32</v>
      </c>
      <c r="F355" s="1">
        <v>44146</v>
      </c>
      <c r="G355">
        <v>5</v>
      </c>
      <c r="H355" s="3" t="s">
        <v>912</v>
      </c>
      <c r="I355" s="3" t="s">
        <v>28</v>
      </c>
      <c r="J355" s="3" t="s">
        <v>18</v>
      </c>
      <c r="K355" s="3" t="s">
        <v>42</v>
      </c>
      <c r="L355">
        <v>2312</v>
      </c>
      <c r="M355" s="3" t="s">
        <v>908</v>
      </c>
      <c r="N355">
        <v>27744</v>
      </c>
      <c r="O355">
        <v>5548.8</v>
      </c>
      <c r="P355">
        <v>3</v>
      </c>
      <c r="Q355" s="3" t="s">
        <v>908</v>
      </c>
      <c r="R355">
        <v>0</v>
      </c>
      <c r="S355">
        <v>0</v>
      </c>
      <c r="T355" s="3" t="s">
        <v>916</v>
      </c>
      <c r="U355">
        <v>31</v>
      </c>
      <c r="V355" s="3" t="s">
        <v>910</v>
      </c>
    </row>
    <row r="356" spans="1:22" x14ac:dyDescent="0.3">
      <c r="A356">
        <v>355</v>
      </c>
      <c r="B356" s="3" t="s">
        <v>302</v>
      </c>
      <c r="C356" s="3" t="s">
        <v>167</v>
      </c>
      <c r="D356" s="3" t="s">
        <v>1266</v>
      </c>
      <c r="E356" s="3" t="s">
        <v>32</v>
      </c>
      <c r="F356" s="1">
        <v>42974</v>
      </c>
      <c r="G356">
        <v>9</v>
      </c>
      <c r="H356" s="3" t="s">
        <v>920</v>
      </c>
      <c r="I356" s="3" t="s">
        <v>41</v>
      </c>
      <c r="J356" s="3" t="s">
        <v>18</v>
      </c>
      <c r="K356" s="3" t="s">
        <v>19</v>
      </c>
      <c r="L356">
        <v>834</v>
      </c>
      <c r="M356" s="3" t="s">
        <v>909</v>
      </c>
      <c r="N356">
        <v>10008</v>
      </c>
      <c r="O356">
        <v>1112</v>
      </c>
      <c r="P356">
        <v>2</v>
      </c>
      <c r="Q356" s="3" t="s">
        <v>909</v>
      </c>
      <c r="R356">
        <v>6</v>
      </c>
      <c r="S356">
        <v>0</v>
      </c>
      <c r="T356" s="3" t="s">
        <v>908</v>
      </c>
      <c r="U356">
        <v>13</v>
      </c>
      <c r="V356" s="3" t="s">
        <v>910</v>
      </c>
    </row>
    <row r="357" spans="1:22" x14ac:dyDescent="0.3">
      <c r="A357">
        <v>356</v>
      </c>
      <c r="B357" s="3" t="s">
        <v>548</v>
      </c>
      <c r="C357" s="3" t="s">
        <v>549</v>
      </c>
      <c r="D357" s="3" t="s">
        <v>1267</v>
      </c>
      <c r="E357" s="3" t="s">
        <v>307</v>
      </c>
      <c r="F357" s="1">
        <v>43480</v>
      </c>
      <c r="G357">
        <v>7</v>
      </c>
      <c r="H357" s="3" t="s">
        <v>907</v>
      </c>
      <c r="I357" s="3" t="s">
        <v>17</v>
      </c>
      <c r="J357" s="3" t="s">
        <v>18</v>
      </c>
      <c r="K357" s="3" t="s">
        <v>42</v>
      </c>
      <c r="L357">
        <v>723</v>
      </c>
      <c r="M357" s="3" t="s">
        <v>909</v>
      </c>
      <c r="N357">
        <v>8676</v>
      </c>
      <c r="O357">
        <v>1239.4285714285713</v>
      </c>
      <c r="P357">
        <v>3</v>
      </c>
      <c r="Q357" s="3" t="s">
        <v>908</v>
      </c>
      <c r="R357">
        <v>0</v>
      </c>
      <c r="S357">
        <v>0</v>
      </c>
      <c r="T357" s="3" t="s">
        <v>916</v>
      </c>
      <c r="U357">
        <v>10</v>
      </c>
      <c r="V357" s="3" t="s">
        <v>917</v>
      </c>
    </row>
    <row r="358" spans="1:22" x14ac:dyDescent="0.3">
      <c r="A358">
        <v>357</v>
      </c>
      <c r="B358" s="3" t="s">
        <v>69</v>
      </c>
      <c r="C358" s="3" t="s">
        <v>550</v>
      </c>
      <c r="D358" s="3" t="s">
        <v>1268</v>
      </c>
      <c r="E358" s="3" t="s">
        <v>32</v>
      </c>
      <c r="F358" s="1">
        <v>42504</v>
      </c>
      <c r="G358">
        <v>10</v>
      </c>
      <c r="H358" s="3" t="s">
        <v>920</v>
      </c>
      <c r="I358" s="3" t="s">
        <v>77</v>
      </c>
      <c r="J358" s="3" t="s">
        <v>18</v>
      </c>
      <c r="K358" s="3" t="s">
        <v>19</v>
      </c>
      <c r="L358">
        <v>2807</v>
      </c>
      <c r="M358" s="3" t="s">
        <v>913</v>
      </c>
      <c r="N358">
        <v>33684</v>
      </c>
      <c r="O358">
        <v>3368.4</v>
      </c>
      <c r="P358">
        <v>3</v>
      </c>
      <c r="Q358" s="3" t="s">
        <v>908</v>
      </c>
      <c r="R358">
        <v>5</v>
      </c>
      <c r="S358">
        <v>1</v>
      </c>
      <c r="T358" s="3" t="s">
        <v>908</v>
      </c>
      <c r="U358">
        <v>2</v>
      </c>
      <c r="V358" s="3" t="s">
        <v>917</v>
      </c>
    </row>
    <row r="359" spans="1:22" x14ac:dyDescent="0.3">
      <c r="A359">
        <v>358</v>
      </c>
      <c r="B359" s="3" t="s">
        <v>551</v>
      </c>
      <c r="C359" s="3" t="s">
        <v>552</v>
      </c>
      <c r="D359" s="3" t="s">
        <v>1269</v>
      </c>
      <c r="E359" s="3" t="s">
        <v>307</v>
      </c>
      <c r="F359" s="1">
        <v>42904</v>
      </c>
      <c r="G359">
        <v>9</v>
      </c>
      <c r="H359" s="3" t="s">
        <v>920</v>
      </c>
      <c r="I359" s="3" t="s">
        <v>58</v>
      </c>
      <c r="J359" s="3" t="s">
        <v>22</v>
      </c>
      <c r="K359" s="3" t="s">
        <v>36</v>
      </c>
      <c r="L359">
        <v>1002</v>
      </c>
      <c r="M359" s="3" t="s">
        <v>909</v>
      </c>
      <c r="N359">
        <v>12024</v>
      </c>
      <c r="O359">
        <v>1336</v>
      </c>
      <c r="P359">
        <v>5</v>
      </c>
      <c r="Q359" s="3" t="s">
        <v>913</v>
      </c>
      <c r="R359">
        <v>1</v>
      </c>
      <c r="S359">
        <v>0</v>
      </c>
      <c r="T359" s="3" t="s">
        <v>909</v>
      </c>
      <c r="U359">
        <v>3</v>
      </c>
      <c r="V359" s="3" t="s">
        <v>917</v>
      </c>
    </row>
    <row r="360" spans="1:22" x14ac:dyDescent="0.3">
      <c r="A360">
        <v>359</v>
      </c>
      <c r="B360" s="3" t="s">
        <v>341</v>
      </c>
      <c r="C360" s="3" t="s">
        <v>553</v>
      </c>
      <c r="D360" s="3" t="s">
        <v>1270</v>
      </c>
      <c r="E360" s="3" t="s">
        <v>32</v>
      </c>
      <c r="F360" s="1">
        <v>44023</v>
      </c>
      <c r="G360">
        <v>6</v>
      </c>
      <c r="H360" s="3" t="s">
        <v>912</v>
      </c>
      <c r="I360" s="3" t="s">
        <v>118</v>
      </c>
      <c r="J360" s="3" t="s">
        <v>18</v>
      </c>
      <c r="K360" s="3" t="s">
        <v>19</v>
      </c>
      <c r="L360">
        <v>2265</v>
      </c>
      <c r="M360" s="3" t="s">
        <v>908</v>
      </c>
      <c r="N360">
        <v>27180</v>
      </c>
      <c r="O360">
        <v>4530</v>
      </c>
      <c r="P360">
        <v>5</v>
      </c>
      <c r="Q360" s="3" t="s">
        <v>913</v>
      </c>
      <c r="R360">
        <v>1</v>
      </c>
      <c r="S360">
        <v>0</v>
      </c>
      <c r="T360" s="3" t="s">
        <v>909</v>
      </c>
      <c r="U360">
        <v>9</v>
      </c>
      <c r="V360" s="3" t="s">
        <v>917</v>
      </c>
    </row>
    <row r="361" spans="1:22" x14ac:dyDescent="0.3">
      <c r="A361">
        <v>360</v>
      </c>
      <c r="B361" s="3" t="s">
        <v>554</v>
      </c>
      <c r="C361" s="3" t="s">
        <v>66</v>
      </c>
      <c r="D361" s="3" t="s">
        <v>1271</v>
      </c>
      <c r="E361" s="3" t="s">
        <v>32</v>
      </c>
      <c r="F361" s="1">
        <v>43753</v>
      </c>
      <c r="G361">
        <v>6</v>
      </c>
      <c r="H361" s="3" t="s">
        <v>912</v>
      </c>
      <c r="I361" s="3" t="s">
        <v>17</v>
      </c>
      <c r="J361" s="3" t="s">
        <v>18</v>
      </c>
      <c r="K361" s="3" t="s">
        <v>36</v>
      </c>
      <c r="L361">
        <v>3283</v>
      </c>
      <c r="M361" s="3" t="s">
        <v>913</v>
      </c>
      <c r="N361">
        <v>39396</v>
      </c>
      <c r="O361">
        <v>6566</v>
      </c>
      <c r="P361">
        <v>5</v>
      </c>
      <c r="Q361" s="3" t="s">
        <v>913</v>
      </c>
      <c r="R361">
        <v>0</v>
      </c>
      <c r="S361">
        <v>0</v>
      </c>
      <c r="T361" s="3" t="s">
        <v>916</v>
      </c>
      <c r="U361">
        <v>3</v>
      </c>
      <c r="V361" s="3" t="s">
        <v>917</v>
      </c>
    </row>
    <row r="362" spans="1:22" x14ac:dyDescent="0.3">
      <c r="A362">
        <v>361</v>
      </c>
      <c r="B362" s="3" t="s">
        <v>305</v>
      </c>
      <c r="C362" s="3" t="s">
        <v>555</v>
      </c>
      <c r="D362" s="3" t="s">
        <v>1272</v>
      </c>
      <c r="E362" s="3" t="s">
        <v>307</v>
      </c>
      <c r="F362" s="1">
        <v>43204</v>
      </c>
      <c r="G362">
        <v>8</v>
      </c>
      <c r="H362" s="3" t="s">
        <v>907</v>
      </c>
      <c r="I362" s="3" t="s">
        <v>77</v>
      </c>
      <c r="J362" s="3" t="s">
        <v>18</v>
      </c>
      <c r="K362" s="3" t="s">
        <v>36</v>
      </c>
      <c r="L362">
        <v>2675</v>
      </c>
      <c r="M362" s="3" t="s">
        <v>913</v>
      </c>
      <c r="N362">
        <v>32100</v>
      </c>
      <c r="O362">
        <v>4012.5</v>
      </c>
      <c r="P362">
        <v>3</v>
      </c>
      <c r="Q362" s="3" t="s">
        <v>908</v>
      </c>
      <c r="R362">
        <v>1</v>
      </c>
      <c r="S362">
        <v>6</v>
      </c>
      <c r="T362" s="3" t="s">
        <v>913</v>
      </c>
      <c r="U362">
        <v>4</v>
      </c>
      <c r="V362" s="3" t="s">
        <v>917</v>
      </c>
    </row>
    <row r="363" spans="1:22" x14ac:dyDescent="0.3">
      <c r="A363">
        <v>362</v>
      </c>
      <c r="B363" s="3" t="s">
        <v>33</v>
      </c>
      <c r="C363" s="3" t="s">
        <v>556</v>
      </c>
      <c r="D363" s="3" t="s">
        <v>1273</v>
      </c>
      <c r="E363" s="3" t="s">
        <v>32</v>
      </c>
      <c r="F363" s="1">
        <v>43481</v>
      </c>
      <c r="G363">
        <v>7</v>
      </c>
      <c r="H363" s="3" t="s">
        <v>907</v>
      </c>
      <c r="I363" s="3" t="s">
        <v>58</v>
      </c>
      <c r="J363" s="3" t="s">
        <v>29</v>
      </c>
      <c r="K363" s="3" t="s">
        <v>42</v>
      </c>
      <c r="L363">
        <v>3056</v>
      </c>
      <c r="M363" s="3" t="s">
        <v>913</v>
      </c>
      <c r="N363">
        <v>36672</v>
      </c>
      <c r="O363">
        <v>5238.8571428571431</v>
      </c>
      <c r="P363">
        <v>4.5</v>
      </c>
      <c r="Q363" s="3" t="s">
        <v>913</v>
      </c>
      <c r="R363">
        <v>0</v>
      </c>
      <c r="S363">
        <v>0</v>
      </c>
      <c r="T363" s="3" t="s">
        <v>916</v>
      </c>
      <c r="U363">
        <v>9</v>
      </c>
      <c r="V363" s="3" t="s">
        <v>917</v>
      </c>
    </row>
    <row r="364" spans="1:22" x14ac:dyDescent="0.3">
      <c r="A364">
        <v>363</v>
      </c>
      <c r="B364" s="3" t="s">
        <v>129</v>
      </c>
      <c r="C364" s="3" t="s">
        <v>557</v>
      </c>
      <c r="D364" s="3" t="s">
        <v>1274</v>
      </c>
      <c r="E364" s="3" t="s">
        <v>32</v>
      </c>
      <c r="F364" s="1">
        <v>43752</v>
      </c>
      <c r="G364">
        <v>6</v>
      </c>
      <c r="H364" s="3" t="s">
        <v>912</v>
      </c>
      <c r="I364" s="3" t="s">
        <v>28</v>
      </c>
      <c r="J364" s="3" t="s">
        <v>18</v>
      </c>
      <c r="K364" s="3" t="s">
        <v>19</v>
      </c>
      <c r="L364">
        <v>1579</v>
      </c>
      <c r="M364" s="3" t="s">
        <v>908</v>
      </c>
      <c r="N364">
        <v>18948</v>
      </c>
      <c r="O364">
        <v>3158</v>
      </c>
      <c r="P364">
        <v>3</v>
      </c>
      <c r="Q364" s="3" t="s">
        <v>908</v>
      </c>
      <c r="R364">
        <v>0</v>
      </c>
      <c r="S364">
        <v>0</v>
      </c>
      <c r="T364" s="3" t="s">
        <v>916</v>
      </c>
      <c r="U364">
        <v>14</v>
      </c>
      <c r="V364" s="3" t="s">
        <v>910</v>
      </c>
    </row>
    <row r="365" spans="1:22" x14ac:dyDescent="0.3">
      <c r="A365">
        <v>364</v>
      </c>
      <c r="B365" s="3" t="s">
        <v>30</v>
      </c>
      <c r="C365" s="3" t="s">
        <v>558</v>
      </c>
      <c r="D365" s="3" t="s">
        <v>1275</v>
      </c>
      <c r="E365" s="3" t="s">
        <v>32</v>
      </c>
      <c r="F365" s="1">
        <v>43622</v>
      </c>
      <c r="G365">
        <v>7</v>
      </c>
      <c r="H365" s="3" t="s">
        <v>907</v>
      </c>
      <c r="I365" s="3" t="s">
        <v>58</v>
      </c>
      <c r="J365" s="3" t="s">
        <v>22</v>
      </c>
      <c r="K365" s="3" t="s">
        <v>898</v>
      </c>
      <c r="L365">
        <v>1255</v>
      </c>
      <c r="M365" s="3" t="s">
        <v>909</v>
      </c>
      <c r="N365">
        <v>15060</v>
      </c>
      <c r="O365">
        <v>2151.4285714285716</v>
      </c>
      <c r="P365">
        <v>3</v>
      </c>
      <c r="Q365" s="3" t="s">
        <v>908</v>
      </c>
      <c r="R365">
        <v>6</v>
      </c>
      <c r="S365">
        <v>0</v>
      </c>
      <c r="T365" s="3" t="s">
        <v>908</v>
      </c>
      <c r="U365">
        <v>0</v>
      </c>
      <c r="V365" s="3" t="s">
        <v>955</v>
      </c>
    </row>
    <row r="366" spans="1:22" x14ac:dyDescent="0.3">
      <c r="A366">
        <v>365</v>
      </c>
      <c r="B366" s="3" t="s">
        <v>197</v>
      </c>
      <c r="C366" s="3" t="s">
        <v>559</v>
      </c>
      <c r="D366" s="3" t="s">
        <v>1276</v>
      </c>
      <c r="E366" s="3" t="s">
        <v>32</v>
      </c>
      <c r="F366" s="1">
        <v>43496</v>
      </c>
      <c r="G366">
        <v>7</v>
      </c>
      <c r="H366" s="3" t="s">
        <v>907</v>
      </c>
      <c r="I366" s="3" t="s">
        <v>17</v>
      </c>
      <c r="J366" s="3" t="s">
        <v>18</v>
      </c>
      <c r="K366" s="3" t="s">
        <v>898</v>
      </c>
      <c r="L366">
        <v>3418</v>
      </c>
      <c r="M366" s="3" t="s">
        <v>913</v>
      </c>
      <c r="N366">
        <v>41016</v>
      </c>
      <c r="O366">
        <v>5859.4285714285716</v>
      </c>
      <c r="P366">
        <v>3</v>
      </c>
      <c r="Q366" s="3" t="s">
        <v>908</v>
      </c>
      <c r="R366">
        <v>4</v>
      </c>
      <c r="S366">
        <v>0</v>
      </c>
      <c r="T366" s="3" t="s">
        <v>908</v>
      </c>
      <c r="U366">
        <v>1</v>
      </c>
      <c r="V366" s="3" t="s">
        <v>917</v>
      </c>
    </row>
    <row r="367" spans="1:22" x14ac:dyDescent="0.3">
      <c r="A367">
        <v>366</v>
      </c>
      <c r="B367" s="3" t="s">
        <v>388</v>
      </c>
      <c r="C367" s="3" t="s">
        <v>560</v>
      </c>
      <c r="D367" s="3" t="s">
        <v>1277</v>
      </c>
      <c r="E367" s="3" t="s">
        <v>32</v>
      </c>
      <c r="F367" s="1">
        <v>44165</v>
      </c>
      <c r="G367">
        <v>5</v>
      </c>
      <c r="H367" s="3" t="s">
        <v>912</v>
      </c>
      <c r="I367" s="3" t="s">
        <v>58</v>
      </c>
      <c r="J367" s="3" t="s">
        <v>18</v>
      </c>
      <c r="K367" s="3" t="s">
        <v>898</v>
      </c>
      <c r="L367">
        <v>3368</v>
      </c>
      <c r="M367" s="3" t="s">
        <v>913</v>
      </c>
      <c r="N367">
        <v>40416</v>
      </c>
      <c r="O367">
        <v>8083.2</v>
      </c>
      <c r="P367">
        <v>3</v>
      </c>
      <c r="Q367" s="3" t="s">
        <v>908</v>
      </c>
      <c r="R367">
        <v>0</v>
      </c>
      <c r="S367">
        <v>0</v>
      </c>
      <c r="T367" s="3" t="s">
        <v>916</v>
      </c>
      <c r="U367">
        <v>8</v>
      </c>
      <c r="V367" s="3" t="s">
        <v>917</v>
      </c>
    </row>
    <row r="368" spans="1:22" x14ac:dyDescent="0.3">
      <c r="A368">
        <v>367</v>
      </c>
      <c r="B368" s="3" t="s">
        <v>561</v>
      </c>
      <c r="C368" s="3" t="s">
        <v>562</v>
      </c>
      <c r="D368" s="3" t="s">
        <v>1278</v>
      </c>
      <c r="E368" s="3" t="s">
        <v>307</v>
      </c>
      <c r="F368" s="1">
        <v>43784</v>
      </c>
      <c r="G368">
        <v>6</v>
      </c>
      <c r="H368" s="3" t="s">
        <v>912</v>
      </c>
      <c r="I368" s="3" t="s">
        <v>45</v>
      </c>
      <c r="J368" s="3" t="s">
        <v>29</v>
      </c>
      <c r="K368" s="3" t="s">
        <v>36</v>
      </c>
      <c r="L368">
        <v>3275</v>
      </c>
      <c r="M368" s="3" t="s">
        <v>913</v>
      </c>
      <c r="N368">
        <v>39300</v>
      </c>
      <c r="O368">
        <v>6550</v>
      </c>
      <c r="P368">
        <v>3</v>
      </c>
      <c r="Q368" s="3" t="s">
        <v>908</v>
      </c>
      <c r="R368">
        <v>1</v>
      </c>
      <c r="S368">
        <v>2</v>
      </c>
      <c r="T368" s="3" t="s">
        <v>909</v>
      </c>
      <c r="U368">
        <v>12</v>
      </c>
      <c r="V368" s="3" t="s">
        <v>910</v>
      </c>
    </row>
    <row r="369" spans="1:22" x14ac:dyDescent="0.3">
      <c r="A369">
        <v>368</v>
      </c>
      <c r="B369" s="3" t="s">
        <v>59</v>
      </c>
      <c r="C369" s="3" t="s">
        <v>370</v>
      </c>
      <c r="D369" s="3" t="s">
        <v>1279</v>
      </c>
      <c r="E369" s="3" t="s">
        <v>307</v>
      </c>
      <c r="F369" s="1">
        <v>44192</v>
      </c>
      <c r="G369">
        <v>5</v>
      </c>
      <c r="H369" s="3" t="s">
        <v>912</v>
      </c>
      <c r="I369" s="3" t="s">
        <v>50</v>
      </c>
      <c r="J369" s="3" t="s">
        <v>29</v>
      </c>
      <c r="K369" s="3" t="s">
        <v>19</v>
      </c>
      <c r="L369">
        <v>3043</v>
      </c>
      <c r="M369" s="3" t="s">
        <v>913</v>
      </c>
      <c r="N369">
        <v>36516</v>
      </c>
      <c r="O369">
        <v>7303.2</v>
      </c>
      <c r="P369">
        <v>2</v>
      </c>
      <c r="Q369" s="3" t="s">
        <v>909</v>
      </c>
      <c r="R369">
        <v>0</v>
      </c>
      <c r="S369">
        <v>0</v>
      </c>
      <c r="T369" s="3" t="s">
        <v>916</v>
      </c>
      <c r="U369">
        <v>8</v>
      </c>
      <c r="V369" s="3" t="s">
        <v>917</v>
      </c>
    </row>
    <row r="370" spans="1:22" x14ac:dyDescent="0.3">
      <c r="A370">
        <v>369</v>
      </c>
      <c r="B370" s="3" t="s">
        <v>563</v>
      </c>
      <c r="C370" s="3" t="s">
        <v>564</v>
      </c>
      <c r="D370" s="3" t="s">
        <v>1280</v>
      </c>
      <c r="E370" s="3" t="s">
        <v>307</v>
      </c>
      <c r="F370" s="1">
        <v>43803</v>
      </c>
      <c r="G370">
        <v>6</v>
      </c>
      <c r="H370" s="3" t="s">
        <v>912</v>
      </c>
      <c r="I370" s="3" t="s">
        <v>118</v>
      </c>
      <c r="J370" s="3" t="s">
        <v>294</v>
      </c>
      <c r="K370" s="3" t="s">
        <v>36</v>
      </c>
      <c r="L370">
        <v>1122</v>
      </c>
      <c r="M370" s="3" t="s">
        <v>909</v>
      </c>
      <c r="N370">
        <v>13464</v>
      </c>
      <c r="O370">
        <v>2244</v>
      </c>
      <c r="P370">
        <v>4.5</v>
      </c>
      <c r="Q370" s="3" t="s">
        <v>913</v>
      </c>
      <c r="R370">
        <v>2</v>
      </c>
      <c r="S370">
        <v>4</v>
      </c>
      <c r="T370" s="3" t="s">
        <v>908</v>
      </c>
      <c r="U370">
        <v>7</v>
      </c>
      <c r="V370" s="3" t="s">
        <v>917</v>
      </c>
    </row>
    <row r="371" spans="1:22" x14ac:dyDescent="0.3">
      <c r="A371">
        <v>370</v>
      </c>
      <c r="B371" s="3" t="s">
        <v>288</v>
      </c>
      <c r="C371" s="3" t="s">
        <v>565</v>
      </c>
      <c r="D371" s="3" t="s">
        <v>1281</v>
      </c>
      <c r="E371" s="3" t="s">
        <v>307</v>
      </c>
      <c r="F371" s="1">
        <v>43183</v>
      </c>
      <c r="G371">
        <v>8</v>
      </c>
      <c r="H371" s="3" t="s">
        <v>907</v>
      </c>
      <c r="I371" s="3" t="s">
        <v>28</v>
      </c>
      <c r="J371" s="3" t="s">
        <v>18</v>
      </c>
      <c r="K371" s="3" t="s">
        <v>42</v>
      </c>
      <c r="L371">
        <v>764</v>
      </c>
      <c r="M371" s="3" t="s">
        <v>909</v>
      </c>
      <c r="N371">
        <v>9168</v>
      </c>
      <c r="O371">
        <v>1146</v>
      </c>
      <c r="P371">
        <v>5</v>
      </c>
      <c r="Q371" s="3" t="s">
        <v>913</v>
      </c>
      <c r="R371">
        <v>4</v>
      </c>
      <c r="S371">
        <v>1</v>
      </c>
      <c r="T371" s="3" t="s">
        <v>908</v>
      </c>
      <c r="U371">
        <v>13</v>
      </c>
      <c r="V371" s="3" t="s">
        <v>910</v>
      </c>
    </row>
    <row r="372" spans="1:22" x14ac:dyDescent="0.3">
      <c r="A372">
        <v>371</v>
      </c>
      <c r="B372" s="3" t="s">
        <v>89</v>
      </c>
      <c r="C372" s="3" t="s">
        <v>566</v>
      </c>
      <c r="D372" s="3" t="s">
        <v>1282</v>
      </c>
      <c r="E372" s="3" t="s">
        <v>307</v>
      </c>
      <c r="F372" s="1">
        <v>43498</v>
      </c>
      <c r="G372">
        <v>7</v>
      </c>
      <c r="H372" s="3" t="s">
        <v>907</v>
      </c>
      <c r="I372" s="3" t="s">
        <v>41</v>
      </c>
      <c r="J372" s="3" t="s">
        <v>22</v>
      </c>
      <c r="K372" s="3" t="s">
        <v>36</v>
      </c>
      <c r="L372">
        <v>2879</v>
      </c>
      <c r="M372" s="3" t="s">
        <v>913</v>
      </c>
      <c r="N372">
        <v>34548</v>
      </c>
      <c r="O372">
        <v>4935.4285714285716</v>
      </c>
      <c r="P372">
        <v>2</v>
      </c>
      <c r="Q372" s="3" t="s">
        <v>909</v>
      </c>
      <c r="R372">
        <v>0</v>
      </c>
      <c r="S372">
        <v>0</v>
      </c>
      <c r="T372" s="3" t="s">
        <v>916</v>
      </c>
      <c r="U372">
        <v>8</v>
      </c>
      <c r="V372" s="3" t="s">
        <v>917</v>
      </c>
    </row>
    <row r="373" spans="1:22" x14ac:dyDescent="0.3">
      <c r="A373">
        <v>372</v>
      </c>
      <c r="B373" s="3" t="s">
        <v>33</v>
      </c>
      <c r="C373" s="3" t="s">
        <v>567</v>
      </c>
      <c r="D373" s="3" t="s">
        <v>1283</v>
      </c>
      <c r="E373" s="3" t="s">
        <v>32</v>
      </c>
      <c r="F373" s="1">
        <v>43886</v>
      </c>
      <c r="G373">
        <v>6</v>
      </c>
      <c r="H373" s="3" t="s">
        <v>912</v>
      </c>
      <c r="I373" s="3" t="s">
        <v>28</v>
      </c>
      <c r="J373" s="3" t="s">
        <v>29</v>
      </c>
      <c r="K373" s="3" t="s">
        <v>19</v>
      </c>
      <c r="L373">
        <v>2252</v>
      </c>
      <c r="M373" s="3" t="s">
        <v>908</v>
      </c>
      <c r="N373">
        <v>27024</v>
      </c>
      <c r="O373">
        <v>4504</v>
      </c>
      <c r="P373">
        <v>3</v>
      </c>
      <c r="Q373" s="3" t="s">
        <v>908</v>
      </c>
      <c r="R373">
        <v>1</v>
      </c>
      <c r="S373">
        <v>0</v>
      </c>
      <c r="T373" s="3" t="s">
        <v>909</v>
      </c>
      <c r="U373">
        <v>50</v>
      </c>
      <c r="V373" s="3" t="s">
        <v>910</v>
      </c>
    </row>
    <row r="374" spans="1:22" x14ac:dyDescent="0.3">
      <c r="A374">
        <v>373</v>
      </c>
      <c r="B374" s="3" t="s">
        <v>30</v>
      </c>
      <c r="C374" s="3" t="s">
        <v>142</v>
      </c>
      <c r="D374" s="3" t="s">
        <v>1284</v>
      </c>
      <c r="E374" s="3" t="s">
        <v>32</v>
      </c>
      <c r="F374" s="1">
        <v>43413</v>
      </c>
      <c r="G374">
        <v>7</v>
      </c>
      <c r="H374" s="3" t="s">
        <v>907</v>
      </c>
      <c r="I374" s="3" t="s">
        <v>35</v>
      </c>
      <c r="J374" s="3" t="s">
        <v>29</v>
      </c>
      <c r="K374" s="3" t="s">
        <v>60</v>
      </c>
      <c r="L374">
        <v>2149</v>
      </c>
      <c r="M374" s="3" t="s">
        <v>908</v>
      </c>
      <c r="N374">
        <v>25788</v>
      </c>
      <c r="O374">
        <v>3684</v>
      </c>
      <c r="P374">
        <v>3</v>
      </c>
      <c r="Q374" s="3" t="s">
        <v>908</v>
      </c>
      <c r="R374">
        <v>0</v>
      </c>
      <c r="S374">
        <v>0</v>
      </c>
      <c r="T374" s="3" t="s">
        <v>916</v>
      </c>
      <c r="U374">
        <v>1</v>
      </c>
      <c r="V374" s="3" t="s">
        <v>917</v>
      </c>
    </row>
    <row r="375" spans="1:22" x14ac:dyDescent="0.3">
      <c r="A375">
        <v>374</v>
      </c>
      <c r="B375" s="3" t="s">
        <v>30</v>
      </c>
      <c r="C375" s="3" t="s">
        <v>568</v>
      </c>
      <c r="D375" s="3" t="s">
        <v>1285</v>
      </c>
      <c r="E375" s="3" t="s">
        <v>32</v>
      </c>
      <c r="F375" s="1">
        <v>43777</v>
      </c>
      <c r="G375">
        <v>6</v>
      </c>
      <c r="H375" s="3" t="s">
        <v>912</v>
      </c>
      <c r="I375" s="3" t="s">
        <v>200</v>
      </c>
      <c r="J375" s="3" t="s">
        <v>29</v>
      </c>
      <c r="K375" s="3" t="s">
        <v>42</v>
      </c>
      <c r="L375">
        <v>2428</v>
      </c>
      <c r="M375" s="3" t="s">
        <v>908</v>
      </c>
      <c r="N375">
        <v>29136</v>
      </c>
      <c r="O375">
        <v>4856</v>
      </c>
      <c r="P375">
        <v>5</v>
      </c>
      <c r="Q375" s="3" t="s">
        <v>913</v>
      </c>
      <c r="R375">
        <v>0</v>
      </c>
      <c r="S375">
        <v>0</v>
      </c>
      <c r="T375" s="3" t="s">
        <v>916</v>
      </c>
      <c r="U375">
        <v>35</v>
      </c>
      <c r="V375" s="3" t="s">
        <v>910</v>
      </c>
    </row>
    <row r="376" spans="1:22" x14ac:dyDescent="0.3">
      <c r="A376">
        <v>375</v>
      </c>
      <c r="B376" s="3" t="s">
        <v>33</v>
      </c>
      <c r="C376" s="3" t="s">
        <v>569</v>
      </c>
      <c r="D376" s="3" t="s">
        <v>1286</v>
      </c>
      <c r="E376" s="3" t="s">
        <v>32</v>
      </c>
      <c r="F376" s="1">
        <v>43750</v>
      </c>
      <c r="G376">
        <v>6</v>
      </c>
      <c r="H376" s="3" t="s">
        <v>912</v>
      </c>
      <c r="I376" s="3" t="s">
        <v>28</v>
      </c>
      <c r="J376" s="3" t="s">
        <v>18</v>
      </c>
      <c r="K376" s="3" t="s">
        <v>42</v>
      </c>
      <c r="L376">
        <v>3240</v>
      </c>
      <c r="M376" s="3" t="s">
        <v>913</v>
      </c>
      <c r="N376">
        <v>38880</v>
      </c>
      <c r="O376">
        <v>6480</v>
      </c>
      <c r="P376">
        <v>5</v>
      </c>
      <c r="Q376" s="3" t="s">
        <v>913</v>
      </c>
      <c r="R376">
        <v>0</v>
      </c>
      <c r="S376">
        <v>0</v>
      </c>
      <c r="T376" s="3" t="s">
        <v>916</v>
      </c>
      <c r="U376">
        <v>6</v>
      </c>
      <c r="V376" s="3" t="s">
        <v>917</v>
      </c>
    </row>
    <row r="377" spans="1:22" x14ac:dyDescent="0.3">
      <c r="A377">
        <v>376</v>
      </c>
      <c r="B377" s="3" t="s">
        <v>59</v>
      </c>
      <c r="C377" s="3" t="s">
        <v>570</v>
      </c>
      <c r="D377" s="3" t="s">
        <v>1287</v>
      </c>
      <c r="E377" s="3" t="s">
        <v>307</v>
      </c>
      <c r="F377" s="1">
        <v>43170</v>
      </c>
      <c r="G377">
        <v>8</v>
      </c>
      <c r="H377" s="3" t="s">
        <v>907</v>
      </c>
      <c r="I377" s="3" t="s">
        <v>41</v>
      </c>
      <c r="J377" s="3" t="s">
        <v>18</v>
      </c>
      <c r="K377" s="3" t="s">
        <v>898</v>
      </c>
      <c r="L377">
        <v>1448</v>
      </c>
      <c r="M377" s="3" t="s">
        <v>909</v>
      </c>
      <c r="N377">
        <v>17376</v>
      </c>
      <c r="O377">
        <v>2172</v>
      </c>
      <c r="P377">
        <v>3</v>
      </c>
      <c r="Q377" s="3" t="s">
        <v>908</v>
      </c>
      <c r="R377">
        <v>4</v>
      </c>
      <c r="S377">
        <v>0</v>
      </c>
      <c r="T377" s="3" t="s">
        <v>908</v>
      </c>
      <c r="U377">
        <v>10</v>
      </c>
      <c r="V377" s="3" t="s">
        <v>917</v>
      </c>
    </row>
    <row r="378" spans="1:22" x14ac:dyDescent="0.3">
      <c r="A378">
        <v>377</v>
      </c>
      <c r="B378" s="3" t="s">
        <v>64</v>
      </c>
      <c r="C378" s="3" t="s">
        <v>571</v>
      </c>
      <c r="D378" s="3" t="s">
        <v>1288</v>
      </c>
      <c r="E378" s="3" t="s">
        <v>32</v>
      </c>
      <c r="F378" s="1">
        <v>44044</v>
      </c>
      <c r="G378">
        <v>6</v>
      </c>
      <c r="H378" s="3" t="s">
        <v>912</v>
      </c>
      <c r="I378" s="3" t="s">
        <v>28</v>
      </c>
      <c r="J378" s="3" t="s">
        <v>18</v>
      </c>
      <c r="K378" s="3" t="s">
        <v>898</v>
      </c>
      <c r="L378">
        <v>2409</v>
      </c>
      <c r="M378" s="3" t="s">
        <v>908</v>
      </c>
      <c r="N378">
        <v>28908</v>
      </c>
      <c r="O378">
        <v>4818</v>
      </c>
      <c r="P378">
        <v>3</v>
      </c>
      <c r="Q378" s="3" t="s">
        <v>908</v>
      </c>
      <c r="R378">
        <v>3</v>
      </c>
      <c r="S378">
        <v>3</v>
      </c>
      <c r="T378" s="3" t="s">
        <v>908</v>
      </c>
      <c r="U378">
        <v>3</v>
      </c>
      <c r="V378" s="3" t="s">
        <v>917</v>
      </c>
    </row>
    <row r="379" spans="1:22" x14ac:dyDescent="0.3">
      <c r="A379">
        <v>378</v>
      </c>
      <c r="B379" s="3" t="s">
        <v>335</v>
      </c>
      <c r="C379" s="3" t="s">
        <v>572</v>
      </c>
      <c r="D379" s="3" t="s">
        <v>1289</v>
      </c>
      <c r="E379" s="3" t="s">
        <v>32</v>
      </c>
      <c r="F379" s="1">
        <v>43741</v>
      </c>
      <c r="G379">
        <v>6</v>
      </c>
      <c r="H379" s="3" t="s">
        <v>912</v>
      </c>
      <c r="I379" s="3" t="s">
        <v>88</v>
      </c>
      <c r="J379" s="3" t="s">
        <v>29</v>
      </c>
      <c r="K379" s="3" t="s">
        <v>60</v>
      </c>
      <c r="L379">
        <v>3030</v>
      </c>
      <c r="M379" s="3" t="s">
        <v>913</v>
      </c>
      <c r="N379">
        <v>36360</v>
      </c>
      <c r="O379">
        <v>6060</v>
      </c>
      <c r="P379">
        <v>2</v>
      </c>
      <c r="Q379" s="3" t="s">
        <v>909</v>
      </c>
      <c r="R379">
        <v>6</v>
      </c>
      <c r="S379">
        <v>0</v>
      </c>
      <c r="T379" s="3" t="s">
        <v>908</v>
      </c>
      <c r="U379">
        <v>5</v>
      </c>
      <c r="V379" s="3" t="s">
        <v>917</v>
      </c>
    </row>
    <row r="380" spans="1:22" x14ac:dyDescent="0.3">
      <c r="A380">
        <v>379</v>
      </c>
      <c r="B380" s="3" t="s">
        <v>30</v>
      </c>
      <c r="C380" s="3" t="s">
        <v>573</v>
      </c>
      <c r="D380" s="3" t="s">
        <v>1290</v>
      </c>
      <c r="E380" s="3" t="s">
        <v>32</v>
      </c>
      <c r="F380" s="1">
        <v>44092</v>
      </c>
      <c r="G380">
        <v>5</v>
      </c>
      <c r="H380" s="3" t="s">
        <v>912</v>
      </c>
      <c r="I380" s="3" t="s">
        <v>28</v>
      </c>
      <c r="J380" s="3" t="s">
        <v>29</v>
      </c>
      <c r="K380" s="3" t="s">
        <v>36</v>
      </c>
      <c r="L380">
        <v>2544</v>
      </c>
      <c r="M380" s="3" t="s">
        <v>913</v>
      </c>
      <c r="N380">
        <v>30528</v>
      </c>
      <c r="O380">
        <v>6105.6</v>
      </c>
      <c r="P380">
        <v>5</v>
      </c>
      <c r="Q380" s="3" t="s">
        <v>913</v>
      </c>
      <c r="R380">
        <v>0</v>
      </c>
      <c r="S380">
        <v>0</v>
      </c>
      <c r="T380" s="3" t="s">
        <v>916</v>
      </c>
      <c r="U380">
        <v>11</v>
      </c>
      <c r="V380" s="3" t="s">
        <v>910</v>
      </c>
    </row>
    <row r="381" spans="1:22" x14ac:dyDescent="0.3">
      <c r="A381">
        <v>380</v>
      </c>
      <c r="B381" s="3" t="s">
        <v>574</v>
      </c>
      <c r="C381" s="3" t="s">
        <v>30</v>
      </c>
      <c r="D381" s="3" t="s">
        <v>1291</v>
      </c>
      <c r="E381" s="3" t="s">
        <v>32</v>
      </c>
      <c r="F381" s="1">
        <v>42778</v>
      </c>
      <c r="G381">
        <v>9</v>
      </c>
      <c r="H381" s="3" t="s">
        <v>920</v>
      </c>
      <c r="I381" s="3" t="s">
        <v>53</v>
      </c>
      <c r="J381" s="3" t="s">
        <v>18</v>
      </c>
      <c r="K381" s="3" t="s">
        <v>19</v>
      </c>
      <c r="L381">
        <v>2872</v>
      </c>
      <c r="M381" s="3" t="s">
        <v>913</v>
      </c>
      <c r="N381">
        <v>34464</v>
      </c>
      <c r="O381">
        <v>3829.3333333333335</v>
      </c>
      <c r="P381">
        <v>4.5</v>
      </c>
      <c r="Q381" s="3" t="s">
        <v>913</v>
      </c>
      <c r="R381">
        <v>5</v>
      </c>
      <c r="S381">
        <v>0</v>
      </c>
      <c r="T381" s="3" t="s">
        <v>908</v>
      </c>
      <c r="U381">
        <v>7</v>
      </c>
      <c r="V381" s="3" t="s">
        <v>917</v>
      </c>
    </row>
    <row r="382" spans="1:22" x14ac:dyDescent="0.3">
      <c r="A382">
        <v>381</v>
      </c>
      <c r="B382" s="3" t="s">
        <v>302</v>
      </c>
      <c r="C382" s="3" t="s">
        <v>575</v>
      </c>
      <c r="D382" s="3" t="s">
        <v>1292</v>
      </c>
      <c r="E382" s="3" t="s">
        <v>32</v>
      </c>
      <c r="F382" s="1">
        <v>43468</v>
      </c>
      <c r="G382">
        <v>7</v>
      </c>
      <c r="H382" s="3" t="s">
        <v>907</v>
      </c>
      <c r="I382" s="3" t="s">
        <v>35</v>
      </c>
      <c r="J382" s="3" t="s">
        <v>18</v>
      </c>
      <c r="K382" s="3" t="s">
        <v>60</v>
      </c>
      <c r="L382">
        <v>2263</v>
      </c>
      <c r="M382" s="3" t="s">
        <v>908</v>
      </c>
      <c r="N382">
        <v>27156</v>
      </c>
      <c r="O382">
        <v>3879.4285714285716</v>
      </c>
      <c r="P382">
        <v>4.5</v>
      </c>
      <c r="Q382" s="3" t="s">
        <v>913</v>
      </c>
      <c r="R382">
        <v>0</v>
      </c>
      <c r="S382">
        <v>0</v>
      </c>
      <c r="T382" s="3" t="s">
        <v>916</v>
      </c>
      <c r="U382">
        <v>8</v>
      </c>
      <c r="V382" s="3" t="s">
        <v>917</v>
      </c>
    </row>
    <row r="383" spans="1:22" x14ac:dyDescent="0.3">
      <c r="A383">
        <v>382</v>
      </c>
      <c r="B383" s="3" t="s">
        <v>59</v>
      </c>
      <c r="C383" s="3" t="s">
        <v>576</v>
      </c>
      <c r="D383" s="3" t="s">
        <v>1293</v>
      </c>
      <c r="E383" s="3" t="s">
        <v>307</v>
      </c>
      <c r="F383" s="1">
        <v>43704</v>
      </c>
      <c r="G383">
        <v>7</v>
      </c>
      <c r="H383" s="3" t="s">
        <v>907</v>
      </c>
      <c r="I383" s="3" t="s">
        <v>17</v>
      </c>
      <c r="J383" s="3" t="s">
        <v>29</v>
      </c>
      <c r="K383" s="3" t="s">
        <v>898</v>
      </c>
      <c r="L383">
        <v>2136</v>
      </c>
      <c r="M383" s="3" t="s">
        <v>908</v>
      </c>
      <c r="N383">
        <v>25632</v>
      </c>
      <c r="O383">
        <v>3661.7142857142858</v>
      </c>
      <c r="P383">
        <v>5</v>
      </c>
      <c r="Q383" s="3" t="s">
        <v>913</v>
      </c>
      <c r="R383">
        <v>4</v>
      </c>
      <c r="S383">
        <v>0</v>
      </c>
      <c r="T383" s="3" t="s">
        <v>908</v>
      </c>
      <c r="U383">
        <v>12</v>
      </c>
      <c r="V383" s="3" t="s">
        <v>910</v>
      </c>
    </row>
    <row r="384" spans="1:22" x14ac:dyDescent="0.3">
      <c r="A384">
        <v>383</v>
      </c>
      <c r="B384" s="3" t="s">
        <v>49</v>
      </c>
      <c r="C384" s="3" t="s">
        <v>577</v>
      </c>
      <c r="D384" s="3" t="s">
        <v>1294</v>
      </c>
      <c r="E384" s="3" t="s">
        <v>32</v>
      </c>
      <c r="F384" s="1">
        <v>42940</v>
      </c>
      <c r="G384">
        <v>9</v>
      </c>
      <c r="H384" s="3" t="s">
        <v>920</v>
      </c>
      <c r="I384" s="3" t="s">
        <v>28</v>
      </c>
      <c r="J384" s="3" t="s">
        <v>18</v>
      </c>
      <c r="K384" s="3" t="s">
        <v>42</v>
      </c>
      <c r="L384">
        <v>2379</v>
      </c>
      <c r="M384" s="3" t="s">
        <v>908</v>
      </c>
      <c r="N384">
        <v>28548</v>
      </c>
      <c r="O384">
        <v>3172</v>
      </c>
      <c r="P384">
        <v>4.5</v>
      </c>
      <c r="Q384" s="3" t="s">
        <v>913</v>
      </c>
      <c r="R384">
        <v>1</v>
      </c>
      <c r="S384">
        <v>0</v>
      </c>
      <c r="T384" s="3" t="s">
        <v>909</v>
      </c>
      <c r="U384">
        <v>10</v>
      </c>
      <c r="V384" s="3" t="s">
        <v>917</v>
      </c>
    </row>
    <row r="385" spans="1:22" x14ac:dyDescent="0.3">
      <c r="A385">
        <v>384</v>
      </c>
      <c r="B385" s="3" t="s">
        <v>578</v>
      </c>
      <c r="C385" s="3" t="s">
        <v>579</v>
      </c>
      <c r="D385" s="3" t="s">
        <v>1295</v>
      </c>
      <c r="E385" s="3" t="s">
        <v>307</v>
      </c>
      <c r="F385" s="1">
        <v>44036</v>
      </c>
      <c r="G385">
        <v>6</v>
      </c>
      <c r="H385" s="3" t="s">
        <v>912</v>
      </c>
      <c r="I385" s="3" t="s">
        <v>41</v>
      </c>
      <c r="J385" s="3" t="s">
        <v>18</v>
      </c>
      <c r="K385" s="3" t="s">
        <v>36</v>
      </c>
      <c r="L385">
        <v>1940</v>
      </c>
      <c r="M385" s="3" t="s">
        <v>908</v>
      </c>
      <c r="N385">
        <v>23280</v>
      </c>
      <c r="O385">
        <v>3880</v>
      </c>
      <c r="P385">
        <v>3</v>
      </c>
      <c r="Q385" s="3" t="s">
        <v>908</v>
      </c>
      <c r="R385">
        <v>4</v>
      </c>
      <c r="S385">
        <v>6</v>
      </c>
      <c r="T385" s="3" t="s">
        <v>913</v>
      </c>
      <c r="U385">
        <v>5</v>
      </c>
      <c r="V385" s="3" t="s">
        <v>917</v>
      </c>
    </row>
    <row r="386" spans="1:22" x14ac:dyDescent="0.3">
      <c r="A386">
        <v>385</v>
      </c>
      <c r="B386" s="3" t="s">
        <v>357</v>
      </c>
      <c r="C386" s="3" t="s">
        <v>580</v>
      </c>
      <c r="D386" s="3" t="s">
        <v>1296</v>
      </c>
      <c r="E386" s="3" t="s">
        <v>32</v>
      </c>
      <c r="F386" s="1">
        <v>43603</v>
      </c>
      <c r="G386">
        <v>7</v>
      </c>
      <c r="H386" s="3" t="s">
        <v>907</v>
      </c>
      <c r="I386" s="3" t="s">
        <v>53</v>
      </c>
      <c r="J386" s="3" t="s">
        <v>18</v>
      </c>
      <c r="K386" s="3" t="s">
        <v>42</v>
      </c>
      <c r="L386">
        <v>1558</v>
      </c>
      <c r="M386" s="3" t="s">
        <v>908</v>
      </c>
      <c r="N386">
        <v>18696</v>
      </c>
      <c r="O386">
        <v>2670.8571428571427</v>
      </c>
      <c r="P386">
        <v>2</v>
      </c>
      <c r="Q386" s="3" t="s">
        <v>909</v>
      </c>
      <c r="R386">
        <v>0</v>
      </c>
      <c r="S386">
        <v>6</v>
      </c>
      <c r="T386" s="3" t="s">
        <v>908</v>
      </c>
      <c r="U386">
        <v>9</v>
      </c>
      <c r="V386" s="3" t="s">
        <v>917</v>
      </c>
    </row>
    <row r="387" spans="1:22" x14ac:dyDescent="0.3">
      <c r="A387">
        <v>386</v>
      </c>
      <c r="B387" s="3" t="s">
        <v>30</v>
      </c>
      <c r="C387" s="3" t="s">
        <v>581</v>
      </c>
      <c r="D387" s="3" t="s">
        <v>1297</v>
      </c>
      <c r="E387" s="3" t="s">
        <v>32</v>
      </c>
      <c r="F387" s="1">
        <v>43563</v>
      </c>
      <c r="G387">
        <v>7</v>
      </c>
      <c r="H387" s="3" t="s">
        <v>907</v>
      </c>
      <c r="I387" s="3" t="s">
        <v>50</v>
      </c>
      <c r="J387" s="3" t="s">
        <v>18</v>
      </c>
      <c r="K387" s="3" t="s">
        <v>36</v>
      </c>
      <c r="L387">
        <v>1341</v>
      </c>
      <c r="M387" s="3" t="s">
        <v>909</v>
      </c>
      <c r="N387">
        <v>16092</v>
      </c>
      <c r="O387">
        <v>2298.8571428571427</v>
      </c>
      <c r="P387">
        <v>5</v>
      </c>
      <c r="Q387" s="3" t="s">
        <v>913</v>
      </c>
      <c r="R387">
        <v>3</v>
      </c>
      <c r="S387">
        <v>0</v>
      </c>
      <c r="T387" s="3" t="s">
        <v>909</v>
      </c>
      <c r="U387">
        <v>8</v>
      </c>
      <c r="V387" s="3" t="s">
        <v>917</v>
      </c>
    </row>
    <row r="388" spans="1:22" x14ac:dyDescent="0.3">
      <c r="A388">
        <v>387</v>
      </c>
      <c r="B388" s="3" t="s">
        <v>582</v>
      </c>
      <c r="C388" s="3" t="s">
        <v>80</v>
      </c>
      <c r="D388" s="3" t="s">
        <v>1298</v>
      </c>
      <c r="E388" s="3" t="s">
        <v>32</v>
      </c>
      <c r="F388" s="1">
        <v>43566</v>
      </c>
      <c r="G388">
        <v>7</v>
      </c>
      <c r="H388" s="3" t="s">
        <v>907</v>
      </c>
      <c r="I388" s="3" t="s">
        <v>28</v>
      </c>
      <c r="J388" s="3" t="s">
        <v>18</v>
      </c>
      <c r="K388" s="3" t="s">
        <v>42</v>
      </c>
      <c r="L388">
        <v>1703</v>
      </c>
      <c r="M388" s="3" t="s">
        <v>908</v>
      </c>
      <c r="N388">
        <v>20436</v>
      </c>
      <c r="O388">
        <v>2919.4285714285716</v>
      </c>
      <c r="P388">
        <v>5</v>
      </c>
      <c r="Q388" s="3" t="s">
        <v>913</v>
      </c>
      <c r="R388">
        <v>2</v>
      </c>
      <c r="S388">
        <v>0</v>
      </c>
      <c r="T388" s="3" t="s">
        <v>909</v>
      </c>
      <c r="U388">
        <v>10</v>
      </c>
      <c r="V388" s="3" t="s">
        <v>917</v>
      </c>
    </row>
    <row r="389" spans="1:22" x14ac:dyDescent="0.3">
      <c r="A389">
        <v>388</v>
      </c>
      <c r="B389" s="3" t="s">
        <v>195</v>
      </c>
      <c r="C389" s="3" t="s">
        <v>583</v>
      </c>
      <c r="D389" s="3" t="s">
        <v>1299</v>
      </c>
      <c r="E389" s="3" t="s">
        <v>32</v>
      </c>
      <c r="F389" s="1">
        <v>44032</v>
      </c>
      <c r="G389">
        <v>6</v>
      </c>
      <c r="H389" s="3" t="s">
        <v>912</v>
      </c>
      <c r="I389" s="3" t="s">
        <v>88</v>
      </c>
      <c r="J389" s="3" t="s">
        <v>18</v>
      </c>
      <c r="K389" s="3" t="s">
        <v>36</v>
      </c>
      <c r="L389">
        <v>3282</v>
      </c>
      <c r="M389" s="3" t="s">
        <v>913</v>
      </c>
      <c r="N389">
        <v>39384</v>
      </c>
      <c r="O389">
        <v>6564</v>
      </c>
      <c r="P389">
        <v>1</v>
      </c>
      <c r="Q389" s="3" t="s">
        <v>909</v>
      </c>
      <c r="R389">
        <v>0</v>
      </c>
      <c r="S389">
        <v>0</v>
      </c>
      <c r="T389" s="3" t="s">
        <v>916</v>
      </c>
      <c r="U389">
        <v>2</v>
      </c>
      <c r="V389" s="3" t="s">
        <v>917</v>
      </c>
    </row>
    <row r="390" spans="1:22" x14ac:dyDescent="0.3">
      <c r="A390">
        <v>389</v>
      </c>
      <c r="B390" s="3" t="s">
        <v>33</v>
      </c>
      <c r="C390" s="3" t="s">
        <v>290</v>
      </c>
      <c r="D390" s="3" t="s">
        <v>1300</v>
      </c>
      <c r="E390" s="3" t="s">
        <v>32</v>
      </c>
      <c r="F390" s="1">
        <v>43895</v>
      </c>
      <c r="G390">
        <v>6</v>
      </c>
      <c r="H390" s="3" t="s">
        <v>912</v>
      </c>
      <c r="I390" s="3" t="s">
        <v>39</v>
      </c>
      <c r="J390" s="3" t="s">
        <v>18</v>
      </c>
      <c r="K390" s="3" t="s">
        <v>19</v>
      </c>
      <c r="L390">
        <v>3125</v>
      </c>
      <c r="M390" s="3" t="s">
        <v>913</v>
      </c>
      <c r="N390">
        <v>37500</v>
      </c>
      <c r="O390">
        <v>6250</v>
      </c>
      <c r="P390">
        <v>2</v>
      </c>
      <c r="Q390" s="3" t="s">
        <v>909</v>
      </c>
      <c r="R390">
        <v>6</v>
      </c>
      <c r="S390">
        <v>3</v>
      </c>
      <c r="T390" s="3" t="s">
        <v>913</v>
      </c>
      <c r="U390">
        <v>0</v>
      </c>
      <c r="V390" s="3" t="s">
        <v>955</v>
      </c>
    </row>
    <row r="391" spans="1:22" x14ac:dyDescent="0.3">
      <c r="A391">
        <v>390</v>
      </c>
      <c r="B391" s="3" t="s">
        <v>191</v>
      </c>
      <c r="C391" s="3" t="s">
        <v>461</v>
      </c>
      <c r="D391" s="3" t="s">
        <v>1301</v>
      </c>
      <c r="E391" s="3" t="s">
        <v>307</v>
      </c>
      <c r="F391" s="1">
        <v>43958</v>
      </c>
      <c r="G391">
        <v>6</v>
      </c>
      <c r="H391" s="3" t="s">
        <v>912</v>
      </c>
      <c r="I391" s="3" t="s">
        <v>41</v>
      </c>
      <c r="J391" s="3" t="s">
        <v>29</v>
      </c>
      <c r="K391" s="3" t="s">
        <v>19</v>
      </c>
      <c r="L391">
        <v>2232</v>
      </c>
      <c r="M391" s="3" t="s">
        <v>908</v>
      </c>
      <c r="N391">
        <v>26784</v>
      </c>
      <c r="O391">
        <v>4464</v>
      </c>
      <c r="P391">
        <v>4.5</v>
      </c>
      <c r="Q391" s="3" t="s">
        <v>913</v>
      </c>
      <c r="R391">
        <v>0</v>
      </c>
      <c r="S391">
        <v>0</v>
      </c>
      <c r="T391" s="3" t="s">
        <v>916</v>
      </c>
      <c r="U391">
        <v>7</v>
      </c>
      <c r="V391" s="3" t="s">
        <v>917</v>
      </c>
    </row>
    <row r="392" spans="1:22" x14ac:dyDescent="0.3">
      <c r="A392">
        <v>391</v>
      </c>
      <c r="B392" s="3" t="s">
        <v>197</v>
      </c>
      <c r="C392" s="3" t="s">
        <v>584</v>
      </c>
      <c r="D392" s="3" t="s">
        <v>1302</v>
      </c>
      <c r="E392" s="3" t="s">
        <v>32</v>
      </c>
      <c r="F392" s="1">
        <v>42823</v>
      </c>
      <c r="G392">
        <v>9</v>
      </c>
      <c r="H392" s="3" t="s">
        <v>920</v>
      </c>
      <c r="I392" s="3" t="s">
        <v>77</v>
      </c>
      <c r="J392" s="3" t="s">
        <v>48</v>
      </c>
      <c r="K392" s="3" t="s">
        <v>42</v>
      </c>
      <c r="L392">
        <v>2513</v>
      </c>
      <c r="M392" s="3" t="s">
        <v>913</v>
      </c>
      <c r="N392">
        <v>30156</v>
      </c>
      <c r="O392">
        <v>3350.6666666666665</v>
      </c>
      <c r="P392">
        <v>4.5</v>
      </c>
      <c r="Q392" s="3" t="s">
        <v>913</v>
      </c>
      <c r="R392">
        <v>2</v>
      </c>
      <c r="S392">
        <v>0</v>
      </c>
      <c r="T392" s="3" t="s">
        <v>909</v>
      </c>
      <c r="U392">
        <v>8</v>
      </c>
      <c r="V392" s="3" t="s">
        <v>917</v>
      </c>
    </row>
    <row r="393" spans="1:22" x14ac:dyDescent="0.3">
      <c r="A393">
        <v>392</v>
      </c>
      <c r="B393" s="3" t="s">
        <v>585</v>
      </c>
      <c r="C393" s="3" t="s">
        <v>586</v>
      </c>
      <c r="D393" s="3" t="s">
        <v>1303</v>
      </c>
      <c r="E393" s="3" t="s">
        <v>32</v>
      </c>
      <c r="F393" s="1">
        <v>42788</v>
      </c>
      <c r="G393">
        <v>9</v>
      </c>
      <c r="H393" s="3" t="s">
        <v>920</v>
      </c>
      <c r="I393" s="3" t="s">
        <v>53</v>
      </c>
      <c r="J393" s="3" t="s">
        <v>48</v>
      </c>
      <c r="K393" s="3" t="s">
        <v>60</v>
      </c>
      <c r="L393">
        <v>2818</v>
      </c>
      <c r="M393" s="3" t="s">
        <v>913</v>
      </c>
      <c r="N393">
        <v>33816</v>
      </c>
      <c r="O393">
        <v>3757.3333333333335</v>
      </c>
      <c r="P393">
        <v>2</v>
      </c>
      <c r="Q393" s="3" t="s">
        <v>909</v>
      </c>
      <c r="R393">
        <v>4</v>
      </c>
      <c r="S393">
        <v>0</v>
      </c>
      <c r="T393" s="3" t="s">
        <v>908</v>
      </c>
      <c r="U393">
        <v>8</v>
      </c>
      <c r="V393" s="3" t="s">
        <v>917</v>
      </c>
    </row>
    <row r="394" spans="1:22" x14ac:dyDescent="0.3">
      <c r="A394">
        <v>393</v>
      </c>
      <c r="B394" s="3" t="s">
        <v>30</v>
      </c>
      <c r="C394" s="3" t="s">
        <v>326</v>
      </c>
      <c r="D394" s="3" t="s">
        <v>1304</v>
      </c>
      <c r="E394" s="3" t="s">
        <v>32</v>
      </c>
      <c r="F394" s="1">
        <v>43240</v>
      </c>
      <c r="G394">
        <v>8</v>
      </c>
      <c r="H394" s="3" t="s">
        <v>907</v>
      </c>
      <c r="I394" s="3" t="s">
        <v>77</v>
      </c>
      <c r="J394" s="3" t="s">
        <v>18</v>
      </c>
      <c r="K394" s="3" t="s">
        <v>36</v>
      </c>
      <c r="L394">
        <v>2257</v>
      </c>
      <c r="M394" s="3" t="s">
        <v>908</v>
      </c>
      <c r="N394">
        <v>27084</v>
      </c>
      <c r="O394">
        <v>3385.5</v>
      </c>
      <c r="P394">
        <v>3</v>
      </c>
      <c r="Q394" s="3" t="s">
        <v>908</v>
      </c>
      <c r="R394">
        <v>0</v>
      </c>
      <c r="S394">
        <v>0</v>
      </c>
      <c r="T394" s="3" t="s">
        <v>916</v>
      </c>
      <c r="U394">
        <v>6</v>
      </c>
      <c r="V394" s="3" t="s">
        <v>917</v>
      </c>
    </row>
    <row r="395" spans="1:22" x14ac:dyDescent="0.3">
      <c r="A395">
        <v>394</v>
      </c>
      <c r="B395" s="3" t="s">
        <v>357</v>
      </c>
      <c r="C395" s="3" t="s">
        <v>587</v>
      </c>
      <c r="D395" s="3" t="s">
        <v>1305</v>
      </c>
      <c r="E395" s="3" t="s">
        <v>32</v>
      </c>
      <c r="F395" s="1">
        <v>43944</v>
      </c>
      <c r="G395">
        <v>6</v>
      </c>
      <c r="H395" s="3" t="s">
        <v>912</v>
      </c>
      <c r="I395" s="3" t="s">
        <v>41</v>
      </c>
      <c r="J395" s="3" t="s">
        <v>18</v>
      </c>
      <c r="K395" s="3" t="s">
        <v>42</v>
      </c>
      <c r="L395">
        <v>1265</v>
      </c>
      <c r="M395" s="3" t="s">
        <v>909</v>
      </c>
      <c r="N395">
        <v>15180</v>
      </c>
      <c r="O395">
        <v>2530</v>
      </c>
      <c r="P395">
        <v>3</v>
      </c>
      <c r="Q395" s="3" t="s">
        <v>908</v>
      </c>
      <c r="R395">
        <v>0</v>
      </c>
      <c r="S395">
        <v>0</v>
      </c>
      <c r="T395" s="3" t="s">
        <v>916</v>
      </c>
      <c r="U395">
        <v>5</v>
      </c>
      <c r="V395" s="3" t="s">
        <v>917</v>
      </c>
    </row>
    <row r="396" spans="1:22" x14ac:dyDescent="0.3">
      <c r="A396">
        <v>395</v>
      </c>
      <c r="B396" s="3" t="s">
        <v>588</v>
      </c>
      <c r="C396" s="3" t="s">
        <v>589</v>
      </c>
      <c r="D396" s="3" t="s">
        <v>1306</v>
      </c>
      <c r="E396" s="3" t="s">
        <v>32</v>
      </c>
      <c r="F396" s="1">
        <v>44130</v>
      </c>
      <c r="G396">
        <v>5</v>
      </c>
      <c r="H396" s="3" t="s">
        <v>912</v>
      </c>
      <c r="I396" s="3" t="s">
        <v>73</v>
      </c>
      <c r="J396" s="3" t="s">
        <v>29</v>
      </c>
      <c r="K396" s="3" t="s">
        <v>42</v>
      </c>
      <c r="L396">
        <v>2207</v>
      </c>
      <c r="M396" s="3" t="s">
        <v>908</v>
      </c>
      <c r="N396">
        <v>26484</v>
      </c>
      <c r="O396">
        <v>5296.8</v>
      </c>
      <c r="P396">
        <v>3</v>
      </c>
      <c r="Q396" s="3" t="s">
        <v>908</v>
      </c>
      <c r="R396">
        <v>2</v>
      </c>
      <c r="S396">
        <v>0</v>
      </c>
      <c r="T396" s="3" t="s">
        <v>909</v>
      </c>
      <c r="U396">
        <v>0</v>
      </c>
      <c r="V396" s="3" t="s">
        <v>955</v>
      </c>
    </row>
    <row r="397" spans="1:22" x14ac:dyDescent="0.3">
      <c r="A397">
        <v>396</v>
      </c>
      <c r="B397" s="3" t="s">
        <v>33</v>
      </c>
      <c r="C397" s="3" t="s">
        <v>590</v>
      </c>
      <c r="D397" s="3" t="s">
        <v>1307</v>
      </c>
      <c r="E397" s="3" t="s">
        <v>32</v>
      </c>
      <c r="F397" s="1">
        <v>43500</v>
      </c>
      <c r="G397">
        <v>7</v>
      </c>
      <c r="H397" s="3" t="s">
        <v>907</v>
      </c>
      <c r="I397" s="3" t="s">
        <v>58</v>
      </c>
      <c r="J397" s="3" t="s">
        <v>18</v>
      </c>
      <c r="K397" s="3" t="s">
        <v>36</v>
      </c>
      <c r="L397">
        <v>2806</v>
      </c>
      <c r="M397" s="3" t="s">
        <v>913</v>
      </c>
      <c r="N397">
        <v>33672</v>
      </c>
      <c r="O397">
        <v>4810.2857142857147</v>
      </c>
      <c r="P397">
        <v>3</v>
      </c>
      <c r="Q397" s="3" t="s">
        <v>908</v>
      </c>
      <c r="R397">
        <v>0</v>
      </c>
      <c r="S397">
        <v>0</v>
      </c>
      <c r="T397" s="3" t="s">
        <v>916</v>
      </c>
      <c r="U397">
        <v>4</v>
      </c>
      <c r="V397" s="3" t="s">
        <v>917</v>
      </c>
    </row>
    <row r="398" spans="1:22" x14ac:dyDescent="0.3">
      <c r="A398">
        <v>397</v>
      </c>
      <c r="B398" s="3" t="s">
        <v>165</v>
      </c>
      <c r="C398" s="3" t="s">
        <v>279</v>
      </c>
      <c r="D398" s="3" t="s">
        <v>1308</v>
      </c>
      <c r="E398" s="3" t="s">
        <v>32</v>
      </c>
      <c r="F398" s="1">
        <v>42781</v>
      </c>
      <c r="G398">
        <v>9</v>
      </c>
      <c r="H398" s="3" t="s">
        <v>920</v>
      </c>
      <c r="I398" s="3" t="s">
        <v>163</v>
      </c>
      <c r="J398" s="3" t="s">
        <v>29</v>
      </c>
      <c r="K398" s="3" t="s">
        <v>60</v>
      </c>
      <c r="L398">
        <v>1521</v>
      </c>
      <c r="M398" s="3" t="s">
        <v>908</v>
      </c>
      <c r="N398">
        <v>18252</v>
      </c>
      <c r="O398">
        <v>2028</v>
      </c>
      <c r="P398">
        <v>5</v>
      </c>
      <c r="Q398" s="3" t="s">
        <v>913</v>
      </c>
      <c r="R398">
        <v>6</v>
      </c>
      <c r="S398">
        <v>0</v>
      </c>
      <c r="T398" s="3" t="s">
        <v>908</v>
      </c>
      <c r="U398">
        <v>3</v>
      </c>
      <c r="V398" s="3" t="s">
        <v>917</v>
      </c>
    </row>
    <row r="399" spans="1:22" x14ac:dyDescent="0.3">
      <c r="A399">
        <v>398</v>
      </c>
      <c r="B399" s="3" t="s">
        <v>33</v>
      </c>
      <c r="C399" s="3" t="s">
        <v>591</v>
      </c>
      <c r="D399" s="3" t="s">
        <v>1309</v>
      </c>
      <c r="E399" s="3" t="s">
        <v>32</v>
      </c>
      <c r="F399" s="1">
        <v>43197</v>
      </c>
      <c r="G399">
        <v>8</v>
      </c>
      <c r="H399" s="3" t="s">
        <v>907</v>
      </c>
      <c r="I399" s="3" t="s">
        <v>53</v>
      </c>
      <c r="J399" s="3" t="s">
        <v>18</v>
      </c>
      <c r="K399" s="3" t="s">
        <v>60</v>
      </c>
      <c r="L399">
        <v>1867</v>
      </c>
      <c r="M399" s="3" t="s">
        <v>908</v>
      </c>
      <c r="N399">
        <v>22404</v>
      </c>
      <c r="O399">
        <v>2800.5</v>
      </c>
      <c r="P399">
        <v>3</v>
      </c>
      <c r="Q399" s="3" t="s">
        <v>908</v>
      </c>
      <c r="R399">
        <v>0</v>
      </c>
      <c r="S399">
        <v>0</v>
      </c>
      <c r="T399" s="3" t="s">
        <v>916</v>
      </c>
      <c r="U399">
        <v>0</v>
      </c>
      <c r="V399" s="3" t="s">
        <v>955</v>
      </c>
    </row>
    <row r="400" spans="1:22" x14ac:dyDescent="0.3">
      <c r="A400">
        <v>399</v>
      </c>
      <c r="B400" s="3" t="s">
        <v>592</v>
      </c>
      <c r="C400" s="3" t="s">
        <v>593</v>
      </c>
      <c r="D400" s="3" t="s">
        <v>1310</v>
      </c>
      <c r="E400" s="3" t="s">
        <v>307</v>
      </c>
      <c r="F400" s="1">
        <v>43444</v>
      </c>
      <c r="G400">
        <v>7</v>
      </c>
      <c r="H400" s="3" t="s">
        <v>907</v>
      </c>
      <c r="I400" s="3" t="s">
        <v>17</v>
      </c>
      <c r="J400" s="3" t="s">
        <v>22</v>
      </c>
      <c r="K400" s="3" t="s">
        <v>36</v>
      </c>
      <c r="L400">
        <v>2425</v>
      </c>
      <c r="M400" s="3" t="s">
        <v>908</v>
      </c>
      <c r="N400">
        <v>29100</v>
      </c>
      <c r="O400">
        <v>4157.1428571428569</v>
      </c>
      <c r="P400">
        <v>5</v>
      </c>
      <c r="Q400" s="3" t="s">
        <v>913</v>
      </c>
      <c r="R400">
        <v>0</v>
      </c>
      <c r="S400">
        <v>0</v>
      </c>
      <c r="T400" s="3" t="s">
        <v>916</v>
      </c>
      <c r="U400">
        <v>10</v>
      </c>
      <c r="V400" s="3" t="s">
        <v>917</v>
      </c>
    </row>
    <row r="401" spans="1:22" x14ac:dyDescent="0.3">
      <c r="A401">
        <v>400</v>
      </c>
      <c r="B401" s="3" t="s">
        <v>388</v>
      </c>
      <c r="C401" s="3" t="s">
        <v>594</v>
      </c>
      <c r="D401" s="3" t="s">
        <v>1311</v>
      </c>
      <c r="E401" s="3" t="s">
        <v>32</v>
      </c>
      <c r="F401" s="1">
        <v>44179</v>
      </c>
      <c r="G401">
        <v>5</v>
      </c>
      <c r="H401" s="3" t="s">
        <v>912</v>
      </c>
      <c r="I401" s="3" t="s">
        <v>58</v>
      </c>
      <c r="J401" s="3" t="s">
        <v>22</v>
      </c>
      <c r="K401" s="3" t="s">
        <v>42</v>
      </c>
      <c r="L401">
        <v>1758</v>
      </c>
      <c r="M401" s="3" t="s">
        <v>908</v>
      </c>
      <c r="N401">
        <v>21096</v>
      </c>
      <c r="O401">
        <v>4219.2</v>
      </c>
      <c r="P401">
        <v>5</v>
      </c>
      <c r="Q401" s="3" t="s">
        <v>913</v>
      </c>
      <c r="R401">
        <v>0</v>
      </c>
      <c r="S401">
        <v>0</v>
      </c>
      <c r="T401" s="3" t="s">
        <v>916</v>
      </c>
      <c r="U401">
        <v>0</v>
      </c>
      <c r="V401" s="3" t="s">
        <v>955</v>
      </c>
    </row>
    <row r="402" spans="1:22" x14ac:dyDescent="0.3">
      <c r="A402">
        <v>401</v>
      </c>
      <c r="B402" s="3" t="s">
        <v>33</v>
      </c>
      <c r="C402" s="3" t="s">
        <v>500</v>
      </c>
      <c r="D402" s="3" t="s">
        <v>1312</v>
      </c>
      <c r="E402" s="3" t="s">
        <v>32</v>
      </c>
      <c r="F402" s="1">
        <v>44191</v>
      </c>
      <c r="G402">
        <v>5</v>
      </c>
      <c r="H402" s="3" t="s">
        <v>912</v>
      </c>
      <c r="I402" s="3" t="s">
        <v>28</v>
      </c>
      <c r="J402" s="3" t="s">
        <v>48</v>
      </c>
      <c r="K402" s="3" t="s">
        <v>898</v>
      </c>
      <c r="L402">
        <v>2832</v>
      </c>
      <c r="M402" s="3" t="s">
        <v>913</v>
      </c>
      <c r="N402">
        <v>33984</v>
      </c>
      <c r="O402">
        <v>6796.8</v>
      </c>
      <c r="P402">
        <v>3</v>
      </c>
      <c r="Q402" s="3" t="s">
        <v>908</v>
      </c>
      <c r="R402">
        <v>0</v>
      </c>
      <c r="S402">
        <v>0</v>
      </c>
      <c r="T402" s="3" t="s">
        <v>916</v>
      </c>
      <c r="U402">
        <v>1</v>
      </c>
      <c r="V402" s="3" t="s">
        <v>917</v>
      </c>
    </row>
    <row r="403" spans="1:22" x14ac:dyDescent="0.3">
      <c r="A403">
        <v>402</v>
      </c>
      <c r="B403" s="3" t="s">
        <v>595</v>
      </c>
      <c r="C403" s="3" t="s">
        <v>596</v>
      </c>
      <c r="D403" s="3" t="s">
        <v>1313</v>
      </c>
      <c r="E403" s="3" t="s">
        <v>307</v>
      </c>
      <c r="F403" s="1">
        <v>42879</v>
      </c>
      <c r="G403">
        <v>9</v>
      </c>
      <c r="H403" s="3" t="s">
        <v>920</v>
      </c>
      <c r="I403" s="3" t="s">
        <v>58</v>
      </c>
      <c r="J403" s="3" t="s">
        <v>18</v>
      </c>
      <c r="K403" s="3" t="s">
        <v>36</v>
      </c>
      <c r="L403">
        <v>1371</v>
      </c>
      <c r="M403" s="3" t="s">
        <v>909</v>
      </c>
      <c r="N403">
        <v>16452</v>
      </c>
      <c r="O403">
        <v>1828</v>
      </c>
      <c r="P403">
        <v>1</v>
      </c>
      <c r="Q403" s="3" t="s">
        <v>909</v>
      </c>
      <c r="R403">
        <v>1</v>
      </c>
      <c r="S403">
        <v>0</v>
      </c>
      <c r="T403" s="3" t="s">
        <v>909</v>
      </c>
      <c r="U403">
        <v>8</v>
      </c>
      <c r="V403" s="3" t="s">
        <v>917</v>
      </c>
    </row>
    <row r="404" spans="1:22" x14ac:dyDescent="0.3">
      <c r="A404">
        <v>403</v>
      </c>
      <c r="B404" s="3" t="s">
        <v>33</v>
      </c>
      <c r="C404" s="3" t="s">
        <v>597</v>
      </c>
      <c r="D404" s="3" t="s">
        <v>1314</v>
      </c>
      <c r="E404" s="3" t="s">
        <v>32</v>
      </c>
      <c r="F404" s="1">
        <v>43461</v>
      </c>
      <c r="G404">
        <v>7</v>
      </c>
      <c r="H404" s="3" t="s">
        <v>907</v>
      </c>
      <c r="I404" s="3" t="s">
        <v>58</v>
      </c>
      <c r="J404" s="3" t="s">
        <v>18</v>
      </c>
      <c r="K404" s="3" t="s">
        <v>898</v>
      </c>
      <c r="L404">
        <v>2904</v>
      </c>
      <c r="M404" s="3" t="s">
        <v>913</v>
      </c>
      <c r="N404">
        <v>34848</v>
      </c>
      <c r="O404">
        <v>4978.2857142857147</v>
      </c>
      <c r="P404">
        <v>5</v>
      </c>
      <c r="Q404" s="3" t="s">
        <v>913</v>
      </c>
      <c r="R404">
        <v>6</v>
      </c>
      <c r="S404">
        <v>0</v>
      </c>
      <c r="T404" s="3" t="s">
        <v>908</v>
      </c>
      <c r="U404">
        <v>3</v>
      </c>
      <c r="V404" s="3" t="s">
        <v>917</v>
      </c>
    </row>
    <row r="405" spans="1:22" x14ac:dyDescent="0.3">
      <c r="A405">
        <v>404</v>
      </c>
      <c r="B405" s="3" t="s">
        <v>310</v>
      </c>
      <c r="C405" s="3" t="s">
        <v>598</v>
      </c>
      <c r="D405" s="3" t="s">
        <v>1315</v>
      </c>
      <c r="E405" s="3" t="s">
        <v>307</v>
      </c>
      <c r="F405" s="1">
        <v>43512</v>
      </c>
      <c r="G405">
        <v>7</v>
      </c>
      <c r="H405" s="3" t="s">
        <v>907</v>
      </c>
      <c r="I405" s="3" t="s">
        <v>35</v>
      </c>
      <c r="J405" s="3" t="s">
        <v>294</v>
      </c>
      <c r="K405" s="3" t="s">
        <v>42</v>
      </c>
      <c r="L405">
        <v>3285</v>
      </c>
      <c r="M405" s="3" t="s">
        <v>913</v>
      </c>
      <c r="N405">
        <v>39420</v>
      </c>
      <c r="O405">
        <v>5631.4285714285716</v>
      </c>
      <c r="P405">
        <v>3</v>
      </c>
      <c r="Q405" s="3" t="s">
        <v>908</v>
      </c>
      <c r="R405">
        <v>2</v>
      </c>
      <c r="S405">
        <v>0</v>
      </c>
      <c r="T405" s="3" t="s">
        <v>909</v>
      </c>
      <c r="U405">
        <v>0</v>
      </c>
      <c r="V405" s="3" t="s">
        <v>955</v>
      </c>
    </row>
    <row r="406" spans="1:22" x14ac:dyDescent="0.3">
      <c r="A406">
        <v>405</v>
      </c>
      <c r="B406" s="3" t="s">
        <v>599</v>
      </c>
      <c r="C406" s="3" t="s">
        <v>600</v>
      </c>
      <c r="D406" s="3" t="s">
        <v>1316</v>
      </c>
      <c r="E406" s="3" t="s">
        <v>32</v>
      </c>
      <c r="F406" s="1">
        <v>43290</v>
      </c>
      <c r="G406">
        <v>8</v>
      </c>
      <c r="H406" s="3" t="s">
        <v>907</v>
      </c>
      <c r="I406" s="3" t="s">
        <v>53</v>
      </c>
      <c r="J406" s="3" t="s">
        <v>18</v>
      </c>
      <c r="K406" s="3" t="s">
        <v>19</v>
      </c>
      <c r="L406">
        <v>2964</v>
      </c>
      <c r="M406" s="3" t="s">
        <v>913</v>
      </c>
      <c r="N406">
        <v>35568</v>
      </c>
      <c r="O406">
        <v>4446</v>
      </c>
      <c r="P406">
        <v>5</v>
      </c>
      <c r="Q406" s="3" t="s">
        <v>913</v>
      </c>
      <c r="R406">
        <v>2</v>
      </c>
      <c r="S406">
        <v>0</v>
      </c>
      <c r="T406" s="3" t="s">
        <v>909</v>
      </c>
      <c r="U406">
        <v>45</v>
      </c>
      <c r="V406" s="3" t="s">
        <v>910</v>
      </c>
    </row>
    <row r="407" spans="1:22" x14ac:dyDescent="0.3">
      <c r="A407">
        <v>406</v>
      </c>
      <c r="B407" s="3" t="s">
        <v>601</v>
      </c>
      <c r="C407" s="3" t="s">
        <v>602</v>
      </c>
      <c r="D407" s="3" t="s">
        <v>1317</v>
      </c>
      <c r="E407" s="3" t="s">
        <v>307</v>
      </c>
      <c r="F407" s="1">
        <v>43195</v>
      </c>
      <c r="G407">
        <v>8</v>
      </c>
      <c r="H407" s="3" t="s">
        <v>907</v>
      </c>
      <c r="I407" s="3" t="s">
        <v>41</v>
      </c>
      <c r="J407" s="3" t="s">
        <v>29</v>
      </c>
      <c r="K407" s="3" t="s">
        <v>36</v>
      </c>
      <c r="L407">
        <v>974</v>
      </c>
      <c r="M407" s="3" t="s">
        <v>909</v>
      </c>
      <c r="N407">
        <v>11688</v>
      </c>
      <c r="O407">
        <v>1461</v>
      </c>
      <c r="P407">
        <v>2</v>
      </c>
      <c r="Q407" s="3" t="s">
        <v>909</v>
      </c>
      <c r="R407">
        <v>5</v>
      </c>
      <c r="S407">
        <v>0</v>
      </c>
      <c r="T407" s="3" t="s">
        <v>908</v>
      </c>
      <c r="U407">
        <v>5</v>
      </c>
      <c r="V407" s="3" t="s">
        <v>917</v>
      </c>
    </row>
    <row r="408" spans="1:22" x14ac:dyDescent="0.3">
      <c r="A408">
        <v>407</v>
      </c>
      <c r="B408" s="3" t="s">
        <v>603</v>
      </c>
      <c r="C408" s="3" t="s">
        <v>604</v>
      </c>
      <c r="D408" s="3" t="s">
        <v>1318</v>
      </c>
      <c r="E408" s="3" t="s">
        <v>307</v>
      </c>
      <c r="F408" s="1">
        <v>43579</v>
      </c>
      <c r="G408">
        <v>7</v>
      </c>
      <c r="H408" s="3" t="s">
        <v>907</v>
      </c>
      <c r="I408" s="3" t="s">
        <v>41</v>
      </c>
      <c r="J408" s="3" t="s">
        <v>22</v>
      </c>
      <c r="K408" s="3" t="s">
        <v>898</v>
      </c>
      <c r="L408">
        <v>2607</v>
      </c>
      <c r="M408" s="3" t="s">
        <v>913</v>
      </c>
      <c r="N408">
        <v>31284</v>
      </c>
      <c r="O408">
        <v>4469.1428571428569</v>
      </c>
      <c r="P408">
        <v>4.5</v>
      </c>
      <c r="Q408" s="3" t="s">
        <v>913</v>
      </c>
      <c r="R408">
        <v>0</v>
      </c>
      <c r="S408">
        <v>0</v>
      </c>
      <c r="T408" s="3" t="s">
        <v>916</v>
      </c>
      <c r="U408">
        <v>9</v>
      </c>
      <c r="V408" s="3" t="s">
        <v>917</v>
      </c>
    </row>
    <row r="409" spans="1:22" x14ac:dyDescent="0.3">
      <c r="A409">
        <v>408</v>
      </c>
      <c r="B409" s="3" t="s">
        <v>605</v>
      </c>
      <c r="C409" s="3" t="s">
        <v>311</v>
      </c>
      <c r="D409" s="3" t="s">
        <v>1319</v>
      </c>
      <c r="E409" s="3" t="s">
        <v>307</v>
      </c>
      <c r="F409" s="1">
        <v>42998</v>
      </c>
      <c r="G409">
        <v>8</v>
      </c>
      <c r="H409" s="3" t="s">
        <v>907</v>
      </c>
      <c r="I409" s="3" t="s">
        <v>17</v>
      </c>
      <c r="J409" s="3" t="s">
        <v>18</v>
      </c>
      <c r="K409" s="3" t="s">
        <v>42</v>
      </c>
      <c r="L409">
        <v>1550</v>
      </c>
      <c r="M409" s="3" t="s">
        <v>908</v>
      </c>
      <c r="N409">
        <v>18600</v>
      </c>
      <c r="O409">
        <v>2325</v>
      </c>
      <c r="P409">
        <v>1</v>
      </c>
      <c r="Q409" s="3" t="s">
        <v>909</v>
      </c>
      <c r="R409">
        <v>0</v>
      </c>
      <c r="S409">
        <v>0</v>
      </c>
      <c r="T409" s="3" t="s">
        <v>916</v>
      </c>
      <c r="U409">
        <v>3</v>
      </c>
      <c r="V409" s="3" t="s">
        <v>917</v>
      </c>
    </row>
    <row r="410" spans="1:22" x14ac:dyDescent="0.3">
      <c r="A410">
        <v>409</v>
      </c>
      <c r="B410" s="3" t="s">
        <v>606</v>
      </c>
      <c r="C410" s="3" t="s">
        <v>607</v>
      </c>
      <c r="D410" s="3" t="s">
        <v>1320</v>
      </c>
      <c r="E410" s="3" t="s">
        <v>307</v>
      </c>
      <c r="F410" s="1">
        <v>42574</v>
      </c>
      <c r="G410">
        <v>10</v>
      </c>
      <c r="H410" s="3" t="s">
        <v>920</v>
      </c>
      <c r="I410" s="3" t="s">
        <v>39</v>
      </c>
      <c r="J410" s="3" t="s">
        <v>18</v>
      </c>
      <c r="K410" s="3" t="s">
        <v>42</v>
      </c>
      <c r="L410">
        <v>1631</v>
      </c>
      <c r="M410" s="3" t="s">
        <v>908</v>
      </c>
      <c r="N410">
        <v>19572</v>
      </c>
      <c r="O410">
        <v>1957.2</v>
      </c>
      <c r="P410">
        <v>4.5</v>
      </c>
      <c r="Q410" s="3" t="s">
        <v>913</v>
      </c>
      <c r="R410">
        <v>0</v>
      </c>
      <c r="S410">
        <v>0</v>
      </c>
      <c r="T410" s="3" t="s">
        <v>916</v>
      </c>
      <c r="U410">
        <v>4</v>
      </c>
      <c r="V410" s="3" t="s">
        <v>917</v>
      </c>
    </row>
    <row r="411" spans="1:22" x14ac:dyDescent="0.3">
      <c r="A411">
        <v>410</v>
      </c>
      <c r="B411" s="3" t="s">
        <v>234</v>
      </c>
      <c r="C411" s="3" t="s">
        <v>608</v>
      </c>
      <c r="D411" s="3" t="s">
        <v>1321</v>
      </c>
      <c r="E411" s="3" t="s">
        <v>32</v>
      </c>
      <c r="F411" s="1">
        <v>43506</v>
      </c>
      <c r="G411">
        <v>7</v>
      </c>
      <c r="H411" s="3" t="s">
        <v>907</v>
      </c>
      <c r="I411" s="3" t="s">
        <v>58</v>
      </c>
      <c r="J411" s="3" t="s">
        <v>18</v>
      </c>
      <c r="K411" s="3" t="s">
        <v>898</v>
      </c>
      <c r="L411">
        <v>3003</v>
      </c>
      <c r="M411" s="3" t="s">
        <v>913</v>
      </c>
      <c r="N411">
        <v>36036</v>
      </c>
      <c r="O411">
        <v>5148</v>
      </c>
      <c r="P411">
        <v>1</v>
      </c>
      <c r="Q411" s="3" t="s">
        <v>909</v>
      </c>
      <c r="R411">
        <v>6</v>
      </c>
      <c r="S411">
        <v>1</v>
      </c>
      <c r="T411" s="3" t="s">
        <v>913</v>
      </c>
      <c r="U411">
        <v>6</v>
      </c>
      <c r="V411" s="3" t="s">
        <v>917</v>
      </c>
    </row>
    <row r="412" spans="1:22" x14ac:dyDescent="0.3">
      <c r="A412">
        <v>411</v>
      </c>
      <c r="B412" s="3" t="s">
        <v>609</v>
      </c>
      <c r="C412" s="3" t="s">
        <v>33</v>
      </c>
      <c r="D412" s="3" t="s">
        <v>1322</v>
      </c>
      <c r="E412" s="3" t="s">
        <v>32</v>
      </c>
      <c r="F412" s="1">
        <v>43800</v>
      </c>
      <c r="G412">
        <v>6</v>
      </c>
      <c r="H412" s="3" t="s">
        <v>912</v>
      </c>
      <c r="I412" s="3" t="s">
        <v>28</v>
      </c>
      <c r="J412" s="3" t="s">
        <v>18</v>
      </c>
      <c r="K412" s="3" t="s">
        <v>19</v>
      </c>
      <c r="L412">
        <v>913</v>
      </c>
      <c r="M412" s="3" t="s">
        <v>909</v>
      </c>
      <c r="N412">
        <v>10956</v>
      </c>
      <c r="O412">
        <v>1826</v>
      </c>
      <c r="P412">
        <v>5</v>
      </c>
      <c r="Q412" s="3" t="s">
        <v>913</v>
      </c>
      <c r="R412">
        <v>0</v>
      </c>
      <c r="S412">
        <v>0</v>
      </c>
      <c r="T412" s="3" t="s">
        <v>916</v>
      </c>
      <c r="U412">
        <v>12</v>
      </c>
      <c r="V412" s="3" t="s">
        <v>910</v>
      </c>
    </row>
    <row r="413" spans="1:22" x14ac:dyDescent="0.3">
      <c r="A413">
        <v>412</v>
      </c>
      <c r="B413" s="3" t="s">
        <v>69</v>
      </c>
      <c r="C413" s="3" t="s">
        <v>610</v>
      </c>
      <c r="D413" s="3" t="s">
        <v>1323</v>
      </c>
      <c r="E413" s="3" t="s">
        <v>32</v>
      </c>
      <c r="F413" s="1">
        <v>42934</v>
      </c>
      <c r="G413">
        <v>9</v>
      </c>
      <c r="H413" s="3" t="s">
        <v>920</v>
      </c>
      <c r="I413" s="3" t="s">
        <v>53</v>
      </c>
      <c r="J413" s="3" t="s">
        <v>18</v>
      </c>
      <c r="K413" s="3" t="s">
        <v>60</v>
      </c>
      <c r="L413">
        <v>2076</v>
      </c>
      <c r="M413" s="3" t="s">
        <v>908</v>
      </c>
      <c r="N413">
        <v>24912</v>
      </c>
      <c r="O413">
        <v>2768</v>
      </c>
      <c r="P413">
        <v>3</v>
      </c>
      <c r="Q413" s="3" t="s">
        <v>908</v>
      </c>
      <c r="R413">
        <v>0</v>
      </c>
      <c r="S413">
        <v>0</v>
      </c>
      <c r="T413" s="3" t="s">
        <v>916</v>
      </c>
      <c r="U413">
        <v>4</v>
      </c>
      <c r="V413" s="3" t="s">
        <v>917</v>
      </c>
    </row>
    <row r="414" spans="1:22" x14ac:dyDescent="0.3">
      <c r="A414">
        <v>413</v>
      </c>
      <c r="B414" s="3" t="s">
        <v>59</v>
      </c>
      <c r="C414" s="3" t="s">
        <v>611</v>
      </c>
      <c r="D414" s="3" t="s">
        <v>1324</v>
      </c>
      <c r="E414" s="3" t="s">
        <v>307</v>
      </c>
      <c r="F414" s="1">
        <v>44008</v>
      </c>
      <c r="G414">
        <v>6</v>
      </c>
      <c r="H414" s="3" t="s">
        <v>912</v>
      </c>
      <c r="I414" s="3" t="s">
        <v>53</v>
      </c>
      <c r="J414" s="3" t="s">
        <v>18</v>
      </c>
      <c r="K414" s="3" t="s">
        <v>19</v>
      </c>
      <c r="L414">
        <v>2749</v>
      </c>
      <c r="M414" s="3" t="s">
        <v>913</v>
      </c>
      <c r="N414">
        <v>32988</v>
      </c>
      <c r="O414">
        <v>5498</v>
      </c>
      <c r="P414">
        <v>3</v>
      </c>
      <c r="Q414" s="3" t="s">
        <v>908</v>
      </c>
      <c r="R414">
        <v>5</v>
      </c>
      <c r="S414">
        <v>4</v>
      </c>
      <c r="T414" s="3" t="s">
        <v>913</v>
      </c>
      <c r="U414">
        <v>0</v>
      </c>
      <c r="V414" s="3" t="s">
        <v>955</v>
      </c>
    </row>
    <row r="415" spans="1:22" x14ac:dyDescent="0.3">
      <c r="A415">
        <v>414</v>
      </c>
      <c r="B415" s="3" t="s">
        <v>612</v>
      </c>
      <c r="C415" s="3" t="s">
        <v>613</v>
      </c>
      <c r="D415" s="3" t="s">
        <v>1325</v>
      </c>
      <c r="E415" s="3" t="s">
        <v>307</v>
      </c>
      <c r="F415" s="1">
        <v>43490</v>
      </c>
      <c r="G415">
        <v>7</v>
      </c>
      <c r="H415" s="3" t="s">
        <v>907</v>
      </c>
      <c r="I415" s="3" t="s">
        <v>50</v>
      </c>
      <c r="J415" s="3" t="s">
        <v>22</v>
      </c>
      <c r="K415" s="3" t="s">
        <v>19</v>
      </c>
      <c r="L415">
        <v>2617</v>
      </c>
      <c r="M415" s="3" t="s">
        <v>913</v>
      </c>
      <c r="N415">
        <v>31404</v>
      </c>
      <c r="O415">
        <v>4486.2857142857147</v>
      </c>
      <c r="P415">
        <v>4.5</v>
      </c>
      <c r="Q415" s="3" t="s">
        <v>913</v>
      </c>
      <c r="R415">
        <v>1</v>
      </c>
      <c r="S415">
        <v>0</v>
      </c>
      <c r="T415" s="3" t="s">
        <v>909</v>
      </c>
      <c r="U415">
        <v>5</v>
      </c>
      <c r="V415" s="3" t="s">
        <v>917</v>
      </c>
    </row>
    <row r="416" spans="1:22" x14ac:dyDescent="0.3">
      <c r="A416">
        <v>415</v>
      </c>
      <c r="B416" s="3" t="s">
        <v>186</v>
      </c>
      <c r="C416" s="3" t="s">
        <v>614</v>
      </c>
      <c r="D416" s="3" t="s">
        <v>1326</v>
      </c>
      <c r="E416" s="3" t="s">
        <v>32</v>
      </c>
      <c r="F416" s="1">
        <v>43697</v>
      </c>
      <c r="G416">
        <v>7</v>
      </c>
      <c r="H416" s="3" t="s">
        <v>907</v>
      </c>
      <c r="I416" s="3" t="s">
        <v>50</v>
      </c>
      <c r="J416" s="3" t="s">
        <v>29</v>
      </c>
      <c r="K416" s="3" t="s">
        <v>36</v>
      </c>
      <c r="L416">
        <v>1680</v>
      </c>
      <c r="M416" s="3" t="s">
        <v>908</v>
      </c>
      <c r="N416">
        <v>20160</v>
      </c>
      <c r="O416">
        <v>2880</v>
      </c>
      <c r="P416">
        <v>5</v>
      </c>
      <c r="Q416" s="3" t="s">
        <v>913</v>
      </c>
      <c r="R416">
        <v>1</v>
      </c>
      <c r="S416">
        <v>0</v>
      </c>
      <c r="T416" s="3" t="s">
        <v>909</v>
      </c>
      <c r="U416">
        <v>35</v>
      </c>
      <c r="V416" s="3" t="s">
        <v>910</v>
      </c>
    </row>
    <row r="417" spans="1:22" x14ac:dyDescent="0.3">
      <c r="A417">
        <v>416</v>
      </c>
      <c r="B417" s="3" t="s">
        <v>219</v>
      </c>
      <c r="C417" s="3" t="s">
        <v>328</v>
      </c>
      <c r="D417" s="3" t="s">
        <v>1327</v>
      </c>
      <c r="E417" s="3" t="s">
        <v>32</v>
      </c>
      <c r="F417" s="1">
        <v>43899</v>
      </c>
      <c r="G417">
        <v>6</v>
      </c>
      <c r="H417" s="3" t="s">
        <v>912</v>
      </c>
      <c r="I417" s="3" t="s">
        <v>45</v>
      </c>
      <c r="J417" s="3" t="s">
        <v>18</v>
      </c>
      <c r="K417" s="3" t="s">
        <v>42</v>
      </c>
      <c r="L417">
        <v>2824</v>
      </c>
      <c r="M417" s="3" t="s">
        <v>913</v>
      </c>
      <c r="N417">
        <v>33888</v>
      </c>
      <c r="O417">
        <v>5648</v>
      </c>
      <c r="P417">
        <v>3</v>
      </c>
      <c r="Q417" s="3" t="s">
        <v>908</v>
      </c>
      <c r="R417">
        <v>3</v>
      </c>
      <c r="S417">
        <v>0</v>
      </c>
      <c r="T417" s="3" t="s">
        <v>909</v>
      </c>
      <c r="U417">
        <v>3</v>
      </c>
      <c r="V417" s="3" t="s">
        <v>917</v>
      </c>
    </row>
    <row r="418" spans="1:22" x14ac:dyDescent="0.3">
      <c r="A418">
        <v>417</v>
      </c>
      <c r="B418" s="3" t="s">
        <v>615</v>
      </c>
      <c r="C418" s="3" t="s">
        <v>616</v>
      </c>
      <c r="D418" s="3" t="s">
        <v>1328</v>
      </c>
      <c r="E418" s="3" t="s">
        <v>307</v>
      </c>
      <c r="F418" s="1">
        <v>43004</v>
      </c>
      <c r="G418">
        <v>8</v>
      </c>
      <c r="H418" s="3" t="s">
        <v>907</v>
      </c>
      <c r="I418" s="3" t="s">
        <v>35</v>
      </c>
      <c r="J418" s="3" t="s">
        <v>18</v>
      </c>
      <c r="K418" s="3" t="s">
        <v>19</v>
      </c>
      <c r="L418">
        <v>1646</v>
      </c>
      <c r="M418" s="3" t="s">
        <v>908</v>
      </c>
      <c r="N418">
        <v>19752</v>
      </c>
      <c r="O418">
        <v>2469</v>
      </c>
      <c r="P418">
        <v>5</v>
      </c>
      <c r="Q418" s="3" t="s">
        <v>913</v>
      </c>
      <c r="R418">
        <v>0</v>
      </c>
      <c r="S418">
        <v>0</v>
      </c>
      <c r="T418" s="3" t="s">
        <v>916</v>
      </c>
      <c r="U418">
        <v>7</v>
      </c>
      <c r="V418" s="3" t="s">
        <v>917</v>
      </c>
    </row>
    <row r="419" spans="1:22" x14ac:dyDescent="0.3">
      <c r="A419">
        <v>418</v>
      </c>
      <c r="B419" s="3" t="s">
        <v>617</v>
      </c>
      <c r="C419" s="3" t="s">
        <v>618</v>
      </c>
      <c r="D419" s="3" t="s">
        <v>1329</v>
      </c>
      <c r="E419" s="3" t="s">
        <v>307</v>
      </c>
      <c r="F419" s="1">
        <v>43438</v>
      </c>
      <c r="G419">
        <v>7</v>
      </c>
      <c r="H419" s="3" t="s">
        <v>907</v>
      </c>
      <c r="I419" s="3" t="s">
        <v>17</v>
      </c>
      <c r="J419" s="3" t="s">
        <v>18</v>
      </c>
      <c r="K419" s="3" t="s">
        <v>60</v>
      </c>
      <c r="L419">
        <v>979</v>
      </c>
      <c r="M419" s="3" t="s">
        <v>909</v>
      </c>
      <c r="N419">
        <v>11748</v>
      </c>
      <c r="O419">
        <v>1678.2857142857142</v>
      </c>
      <c r="P419">
        <v>5</v>
      </c>
      <c r="Q419" s="3" t="s">
        <v>913</v>
      </c>
      <c r="R419">
        <v>5</v>
      </c>
      <c r="S419">
        <v>0</v>
      </c>
      <c r="T419" s="3" t="s">
        <v>908</v>
      </c>
      <c r="U419">
        <v>8</v>
      </c>
      <c r="V419" s="3" t="s">
        <v>917</v>
      </c>
    </row>
    <row r="420" spans="1:22" x14ac:dyDescent="0.3">
      <c r="A420">
        <v>419</v>
      </c>
      <c r="B420" s="3" t="s">
        <v>619</v>
      </c>
      <c r="C420" s="3" t="s">
        <v>620</v>
      </c>
      <c r="D420" s="3" t="s">
        <v>1330</v>
      </c>
      <c r="E420" s="3" t="s">
        <v>307</v>
      </c>
      <c r="F420" s="1">
        <v>43467</v>
      </c>
      <c r="G420">
        <v>7</v>
      </c>
      <c r="H420" s="3" t="s">
        <v>907</v>
      </c>
      <c r="I420" s="3" t="s">
        <v>77</v>
      </c>
      <c r="J420" s="3" t="s">
        <v>48</v>
      </c>
      <c r="K420" s="3" t="s">
        <v>19</v>
      </c>
      <c r="L420">
        <v>1274</v>
      </c>
      <c r="M420" s="3" t="s">
        <v>909</v>
      </c>
      <c r="N420">
        <v>15288</v>
      </c>
      <c r="O420">
        <v>2184</v>
      </c>
      <c r="P420">
        <v>3</v>
      </c>
      <c r="Q420" s="3" t="s">
        <v>908</v>
      </c>
      <c r="R420">
        <v>0</v>
      </c>
      <c r="S420">
        <v>0</v>
      </c>
      <c r="T420" s="3" t="s">
        <v>916</v>
      </c>
      <c r="U420">
        <v>7</v>
      </c>
      <c r="V420" s="3" t="s">
        <v>917</v>
      </c>
    </row>
    <row r="421" spans="1:22" x14ac:dyDescent="0.3">
      <c r="A421">
        <v>420</v>
      </c>
      <c r="B421" s="3" t="s">
        <v>426</v>
      </c>
      <c r="C421" s="3" t="s">
        <v>437</v>
      </c>
      <c r="D421" s="3" t="s">
        <v>1331</v>
      </c>
      <c r="E421" s="3" t="s">
        <v>307</v>
      </c>
      <c r="F421" s="1">
        <v>43765</v>
      </c>
      <c r="G421">
        <v>6</v>
      </c>
      <c r="H421" s="3" t="s">
        <v>912</v>
      </c>
      <c r="I421" s="3" t="s">
        <v>53</v>
      </c>
      <c r="J421" s="3" t="s">
        <v>18</v>
      </c>
      <c r="K421" s="3" t="s">
        <v>36</v>
      </c>
      <c r="L421">
        <v>2715</v>
      </c>
      <c r="M421" s="3" t="s">
        <v>913</v>
      </c>
      <c r="N421">
        <v>32580</v>
      </c>
      <c r="O421">
        <v>5430</v>
      </c>
      <c r="P421">
        <v>2</v>
      </c>
      <c r="Q421" s="3" t="s">
        <v>909</v>
      </c>
      <c r="R421">
        <v>0</v>
      </c>
      <c r="S421">
        <v>0</v>
      </c>
      <c r="T421" s="3" t="s">
        <v>916</v>
      </c>
      <c r="U421">
        <v>3</v>
      </c>
      <c r="V421" s="3" t="s">
        <v>917</v>
      </c>
    </row>
    <row r="422" spans="1:22" x14ac:dyDescent="0.3">
      <c r="A422">
        <v>421</v>
      </c>
      <c r="B422" s="3" t="s">
        <v>621</v>
      </c>
      <c r="C422" s="3" t="s">
        <v>622</v>
      </c>
      <c r="D422" s="3" t="s">
        <v>1332</v>
      </c>
      <c r="E422" s="3" t="s">
        <v>32</v>
      </c>
      <c r="F422" s="1">
        <v>43781</v>
      </c>
      <c r="G422">
        <v>6</v>
      </c>
      <c r="H422" s="3" t="s">
        <v>912</v>
      </c>
      <c r="I422" s="3" t="s">
        <v>28</v>
      </c>
      <c r="J422" s="3" t="s">
        <v>48</v>
      </c>
      <c r="K422" s="3" t="s">
        <v>36</v>
      </c>
      <c r="L422">
        <v>1158</v>
      </c>
      <c r="M422" s="3" t="s">
        <v>909</v>
      </c>
      <c r="N422">
        <v>13896</v>
      </c>
      <c r="O422">
        <v>2316</v>
      </c>
      <c r="P422">
        <v>5</v>
      </c>
      <c r="Q422" s="3" t="s">
        <v>913</v>
      </c>
      <c r="R422">
        <v>0</v>
      </c>
      <c r="S422">
        <v>0</v>
      </c>
      <c r="T422" s="3" t="s">
        <v>916</v>
      </c>
      <c r="U422">
        <v>0</v>
      </c>
      <c r="V422" s="3" t="s">
        <v>955</v>
      </c>
    </row>
    <row r="423" spans="1:22" x14ac:dyDescent="0.3">
      <c r="A423">
        <v>422</v>
      </c>
      <c r="B423" s="3" t="s">
        <v>223</v>
      </c>
      <c r="C423" s="3" t="s">
        <v>623</v>
      </c>
      <c r="D423" s="3" t="s">
        <v>1333</v>
      </c>
      <c r="E423" s="3" t="s">
        <v>32</v>
      </c>
      <c r="F423" s="1">
        <v>43314</v>
      </c>
      <c r="G423">
        <v>8</v>
      </c>
      <c r="H423" s="3" t="s">
        <v>907</v>
      </c>
      <c r="I423" s="3" t="s">
        <v>58</v>
      </c>
      <c r="J423" s="3" t="s">
        <v>18</v>
      </c>
      <c r="K423" s="3" t="s">
        <v>898</v>
      </c>
      <c r="L423">
        <v>1986</v>
      </c>
      <c r="M423" s="3" t="s">
        <v>908</v>
      </c>
      <c r="N423">
        <v>23832</v>
      </c>
      <c r="O423">
        <v>2979</v>
      </c>
      <c r="P423">
        <v>3</v>
      </c>
      <c r="Q423" s="3" t="s">
        <v>908</v>
      </c>
      <c r="R423">
        <v>1</v>
      </c>
      <c r="S423">
        <v>0</v>
      </c>
      <c r="T423" s="3" t="s">
        <v>909</v>
      </c>
      <c r="U423">
        <v>14</v>
      </c>
      <c r="V423" s="3" t="s">
        <v>910</v>
      </c>
    </row>
    <row r="424" spans="1:22" x14ac:dyDescent="0.3">
      <c r="A424">
        <v>423</v>
      </c>
      <c r="B424" s="3" t="s">
        <v>186</v>
      </c>
      <c r="C424" s="3" t="s">
        <v>624</v>
      </c>
      <c r="D424" s="3" t="s">
        <v>1334</v>
      </c>
      <c r="E424" s="3" t="s">
        <v>32</v>
      </c>
      <c r="F424" s="1">
        <v>43826</v>
      </c>
      <c r="G424">
        <v>6</v>
      </c>
      <c r="H424" s="3" t="s">
        <v>912</v>
      </c>
      <c r="I424" s="3" t="s">
        <v>28</v>
      </c>
      <c r="J424" s="3" t="s">
        <v>22</v>
      </c>
      <c r="K424" s="3" t="s">
        <v>60</v>
      </c>
      <c r="L424">
        <v>3299</v>
      </c>
      <c r="M424" s="3" t="s">
        <v>913</v>
      </c>
      <c r="N424">
        <v>39588</v>
      </c>
      <c r="O424">
        <v>6598</v>
      </c>
      <c r="P424">
        <v>5</v>
      </c>
      <c r="Q424" s="3" t="s">
        <v>913</v>
      </c>
      <c r="R424">
        <v>1</v>
      </c>
      <c r="S424">
        <v>0</v>
      </c>
      <c r="T424" s="3" t="s">
        <v>909</v>
      </c>
      <c r="U424">
        <v>0</v>
      </c>
      <c r="V424" s="3" t="s">
        <v>955</v>
      </c>
    </row>
    <row r="425" spans="1:22" x14ac:dyDescent="0.3">
      <c r="A425">
        <v>424</v>
      </c>
      <c r="B425" s="3" t="s">
        <v>66</v>
      </c>
      <c r="C425" s="3" t="s">
        <v>427</v>
      </c>
      <c r="D425" s="3" t="s">
        <v>1335</v>
      </c>
      <c r="E425" s="3" t="s">
        <v>32</v>
      </c>
      <c r="F425" s="1">
        <v>43062</v>
      </c>
      <c r="G425">
        <v>8</v>
      </c>
      <c r="H425" s="3" t="s">
        <v>907</v>
      </c>
      <c r="I425" s="3" t="s">
        <v>17</v>
      </c>
      <c r="J425" s="3" t="s">
        <v>18</v>
      </c>
      <c r="K425" s="3" t="s">
        <v>42</v>
      </c>
      <c r="L425">
        <v>2405</v>
      </c>
      <c r="M425" s="3" t="s">
        <v>908</v>
      </c>
      <c r="N425">
        <v>28860</v>
      </c>
      <c r="O425">
        <v>3607.5</v>
      </c>
      <c r="P425">
        <v>5</v>
      </c>
      <c r="Q425" s="3" t="s">
        <v>913</v>
      </c>
      <c r="R425">
        <v>0</v>
      </c>
      <c r="S425">
        <v>0</v>
      </c>
      <c r="T425" s="3" t="s">
        <v>916</v>
      </c>
      <c r="U425">
        <v>97</v>
      </c>
      <c r="V425" s="3" t="s">
        <v>910</v>
      </c>
    </row>
    <row r="426" spans="1:22" x14ac:dyDescent="0.3">
      <c r="A426">
        <v>425</v>
      </c>
      <c r="B426" s="3" t="s">
        <v>263</v>
      </c>
      <c r="C426" s="3" t="s">
        <v>625</v>
      </c>
      <c r="D426" s="3" t="s">
        <v>1336</v>
      </c>
      <c r="E426" s="3" t="s">
        <v>32</v>
      </c>
      <c r="F426" s="1">
        <v>44027</v>
      </c>
      <c r="G426">
        <v>6</v>
      </c>
      <c r="H426" s="3" t="s">
        <v>912</v>
      </c>
      <c r="I426" s="3" t="s">
        <v>53</v>
      </c>
      <c r="J426" s="3" t="s">
        <v>18</v>
      </c>
      <c r="K426" s="3" t="s">
        <v>36</v>
      </c>
      <c r="L426">
        <v>2205</v>
      </c>
      <c r="M426" s="3" t="s">
        <v>908</v>
      </c>
      <c r="N426">
        <v>26460</v>
      </c>
      <c r="O426">
        <v>4410</v>
      </c>
      <c r="P426">
        <v>3</v>
      </c>
      <c r="Q426" s="3" t="s">
        <v>908</v>
      </c>
      <c r="R426">
        <v>0</v>
      </c>
      <c r="S426">
        <v>0</v>
      </c>
      <c r="T426" s="3" t="s">
        <v>916</v>
      </c>
      <c r="U426">
        <v>4</v>
      </c>
      <c r="V426" s="3" t="s">
        <v>917</v>
      </c>
    </row>
    <row r="427" spans="1:22" x14ac:dyDescent="0.3">
      <c r="A427">
        <v>426</v>
      </c>
      <c r="B427" s="3" t="s">
        <v>33</v>
      </c>
      <c r="C427" s="3" t="s">
        <v>626</v>
      </c>
      <c r="D427" s="3" t="s">
        <v>1337</v>
      </c>
      <c r="E427" s="3" t="s">
        <v>32</v>
      </c>
      <c r="F427" s="1">
        <v>42562</v>
      </c>
      <c r="G427">
        <v>10</v>
      </c>
      <c r="H427" s="3" t="s">
        <v>920</v>
      </c>
      <c r="I427" s="3" t="s">
        <v>28</v>
      </c>
      <c r="J427" s="3" t="s">
        <v>18</v>
      </c>
      <c r="K427" s="3" t="s">
        <v>898</v>
      </c>
      <c r="L427">
        <v>2651</v>
      </c>
      <c r="M427" s="3" t="s">
        <v>913</v>
      </c>
      <c r="N427">
        <v>31812</v>
      </c>
      <c r="O427">
        <v>3181.2</v>
      </c>
      <c r="P427">
        <v>3</v>
      </c>
      <c r="Q427" s="3" t="s">
        <v>908</v>
      </c>
      <c r="R427">
        <v>0</v>
      </c>
      <c r="S427">
        <v>0</v>
      </c>
      <c r="T427" s="3" t="s">
        <v>916</v>
      </c>
      <c r="U427">
        <v>6</v>
      </c>
      <c r="V427" s="3" t="s">
        <v>917</v>
      </c>
    </row>
    <row r="428" spans="1:22" x14ac:dyDescent="0.3">
      <c r="A428">
        <v>427</v>
      </c>
      <c r="B428" s="3" t="s">
        <v>30</v>
      </c>
      <c r="C428" s="3" t="s">
        <v>231</v>
      </c>
      <c r="D428" s="3" t="s">
        <v>1338</v>
      </c>
      <c r="E428" s="3" t="s">
        <v>32</v>
      </c>
      <c r="F428" s="1">
        <v>43615</v>
      </c>
      <c r="G428">
        <v>7</v>
      </c>
      <c r="H428" s="3" t="s">
        <v>907</v>
      </c>
      <c r="I428" s="3" t="s">
        <v>41</v>
      </c>
      <c r="J428" s="3" t="s">
        <v>18</v>
      </c>
      <c r="K428" s="3" t="s">
        <v>36</v>
      </c>
      <c r="L428">
        <v>1693</v>
      </c>
      <c r="M428" s="3" t="s">
        <v>908</v>
      </c>
      <c r="N428">
        <v>20316</v>
      </c>
      <c r="O428">
        <v>2902.2857142857142</v>
      </c>
      <c r="P428">
        <v>4.5</v>
      </c>
      <c r="Q428" s="3" t="s">
        <v>913</v>
      </c>
      <c r="R428">
        <v>2</v>
      </c>
      <c r="S428">
        <v>5</v>
      </c>
      <c r="T428" s="3" t="s">
        <v>913</v>
      </c>
      <c r="U428">
        <v>6</v>
      </c>
      <c r="V428" s="3" t="s">
        <v>917</v>
      </c>
    </row>
    <row r="429" spans="1:22" x14ac:dyDescent="0.3">
      <c r="A429">
        <v>428</v>
      </c>
      <c r="B429" s="3" t="s">
        <v>172</v>
      </c>
      <c r="C429" s="3" t="s">
        <v>627</v>
      </c>
      <c r="D429" s="3" t="s">
        <v>1339</v>
      </c>
      <c r="E429" s="3" t="s">
        <v>307</v>
      </c>
      <c r="F429" s="1">
        <v>43821</v>
      </c>
      <c r="G429">
        <v>6</v>
      </c>
      <c r="H429" s="3" t="s">
        <v>912</v>
      </c>
      <c r="I429" s="3" t="s">
        <v>39</v>
      </c>
      <c r="J429" s="3" t="s">
        <v>18</v>
      </c>
      <c r="K429" s="3" t="s">
        <v>42</v>
      </c>
      <c r="L429">
        <v>1690</v>
      </c>
      <c r="M429" s="3" t="s">
        <v>908</v>
      </c>
      <c r="N429">
        <v>20280</v>
      </c>
      <c r="O429">
        <v>3380</v>
      </c>
      <c r="P429">
        <v>1</v>
      </c>
      <c r="Q429" s="3" t="s">
        <v>909</v>
      </c>
      <c r="R429">
        <v>0</v>
      </c>
      <c r="S429">
        <v>0</v>
      </c>
      <c r="T429" s="3" t="s">
        <v>916</v>
      </c>
      <c r="U429">
        <v>6</v>
      </c>
      <c r="V429" s="3" t="s">
        <v>917</v>
      </c>
    </row>
    <row r="430" spans="1:22" x14ac:dyDescent="0.3">
      <c r="A430">
        <v>429</v>
      </c>
      <c r="B430" s="3" t="s">
        <v>20</v>
      </c>
      <c r="C430" s="3" t="s">
        <v>628</v>
      </c>
      <c r="D430" s="3" t="s">
        <v>1340</v>
      </c>
      <c r="E430" s="3" t="s">
        <v>32</v>
      </c>
      <c r="F430" s="1">
        <v>43499</v>
      </c>
      <c r="G430">
        <v>7</v>
      </c>
      <c r="H430" s="3" t="s">
        <v>907</v>
      </c>
      <c r="I430" s="3" t="s">
        <v>41</v>
      </c>
      <c r="J430" s="3" t="s">
        <v>18</v>
      </c>
      <c r="K430" s="3" t="s">
        <v>42</v>
      </c>
      <c r="L430">
        <v>766</v>
      </c>
      <c r="M430" s="3" t="s">
        <v>909</v>
      </c>
      <c r="N430">
        <v>9192</v>
      </c>
      <c r="O430">
        <v>1313.1428571428571</v>
      </c>
      <c r="P430">
        <v>3</v>
      </c>
      <c r="Q430" s="3" t="s">
        <v>908</v>
      </c>
      <c r="R430">
        <v>0</v>
      </c>
      <c r="S430">
        <v>0</v>
      </c>
      <c r="T430" s="3" t="s">
        <v>916</v>
      </c>
      <c r="U430">
        <v>5</v>
      </c>
      <c r="V430" s="3" t="s">
        <v>917</v>
      </c>
    </row>
    <row r="431" spans="1:22" x14ac:dyDescent="0.3">
      <c r="A431">
        <v>430</v>
      </c>
      <c r="B431" s="3" t="s">
        <v>67</v>
      </c>
      <c r="C431" s="3" t="s">
        <v>629</v>
      </c>
      <c r="D431" s="3" t="s">
        <v>1341</v>
      </c>
      <c r="E431" s="3" t="s">
        <v>32</v>
      </c>
      <c r="F431" s="1">
        <v>43661</v>
      </c>
      <c r="G431">
        <v>7</v>
      </c>
      <c r="H431" s="3" t="s">
        <v>907</v>
      </c>
      <c r="I431" s="3" t="s">
        <v>144</v>
      </c>
      <c r="J431" s="3" t="s">
        <v>18</v>
      </c>
      <c r="K431" s="3" t="s">
        <v>60</v>
      </c>
      <c r="L431">
        <v>2542</v>
      </c>
      <c r="M431" s="3" t="s">
        <v>913</v>
      </c>
      <c r="N431">
        <v>30504</v>
      </c>
      <c r="O431">
        <v>4357.7142857142853</v>
      </c>
      <c r="P431">
        <v>3</v>
      </c>
      <c r="Q431" s="3" t="s">
        <v>908</v>
      </c>
      <c r="R431">
        <v>1</v>
      </c>
      <c r="S431">
        <v>0</v>
      </c>
      <c r="T431" s="3" t="s">
        <v>909</v>
      </c>
      <c r="U431">
        <v>3</v>
      </c>
      <c r="V431" s="3" t="s">
        <v>917</v>
      </c>
    </row>
    <row r="432" spans="1:22" x14ac:dyDescent="0.3">
      <c r="A432">
        <v>431</v>
      </c>
      <c r="B432" s="3" t="s">
        <v>210</v>
      </c>
      <c r="C432" s="3" t="s">
        <v>475</v>
      </c>
      <c r="D432" s="3" t="s">
        <v>1342</v>
      </c>
      <c r="E432" s="3" t="s">
        <v>307</v>
      </c>
      <c r="F432" s="1">
        <v>42654</v>
      </c>
      <c r="G432">
        <v>9</v>
      </c>
      <c r="H432" s="3" t="s">
        <v>920</v>
      </c>
      <c r="I432" s="3" t="s">
        <v>88</v>
      </c>
      <c r="J432" s="3" t="s">
        <v>29</v>
      </c>
      <c r="K432" s="3" t="s">
        <v>898</v>
      </c>
      <c r="L432">
        <v>1966</v>
      </c>
      <c r="M432" s="3" t="s">
        <v>908</v>
      </c>
      <c r="N432">
        <v>23592</v>
      </c>
      <c r="O432">
        <v>2621.3333333333335</v>
      </c>
      <c r="P432">
        <v>4.5</v>
      </c>
      <c r="Q432" s="3" t="s">
        <v>913</v>
      </c>
      <c r="R432">
        <v>0</v>
      </c>
      <c r="S432">
        <v>0</v>
      </c>
      <c r="T432" s="3" t="s">
        <v>916</v>
      </c>
      <c r="U432">
        <v>8</v>
      </c>
      <c r="V432" s="3" t="s">
        <v>917</v>
      </c>
    </row>
    <row r="433" spans="1:22" x14ac:dyDescent="0.3">
      <c r="A433">
        <v>432</v>
      </c>
      <c r="B433" s="3" t="s">
        <v>33</v>
      </c>
      <c r="C433" s="3" t="s">
        <v>630</v>
      </c>
      <c r="D433" s="3" t="s">
        <v>1343</v>
      </c>
      <c r="E433" s="3" t="s">
        <v>32</v>
      </c>
      <c r="F433" s="1">
        <v>43652</v>
      </c>
      <c r="G433">
        <v>7</v>
      </c>
      <c r="H433" s="3" t="s">
        <v>907</v>
      </c>
      <c r="I433" s="3" t="s">
        <v>28</v>
      </c>
      <c r="J433" s="3" t="s">
        <v>18</v>
      </c>
      <c r="K433" s="3" t="s">
        <v>42</v>
      </c>
      <c r="L433">
        <v>2977</v>
      </c>
      <c r="M433" s="3" t="s">
        <v>913</v>
      </c>
      <c r="N433">
        <v>35724</v>
      </c>
      <c r="O433">
        <v>5103.4285714285716</v>
      </c>
      <c r="P433">
        <v>4.5</v>
      </c>
      <c r="Q433" s="3" t="s">
        <v>913</v>
      </c>
      <c r="R433">
        <v>0</v>
      </c>
      <c r="S433">
        <v>0</v>
      </c>
      <c r="T433" s="3" t="s">
        <v>916</v>
      </c>
      <c r="U433">
        <v>8</v>
      </c>
      <c r="V433" s="3" t="s">
        <v>917</v>
      </c>
    </row>
    <row r="434" spans="1:22" x14ac:dyDescent="0.3">
      <c r="A434">
        <v>433</v>
      </c>
      <c r="B434" s="3" t="s">
        <v>67</v>
      </c>
      <c r="C434" s="3" t="s">
        <v>631</v>
      </c>
      <c r="D434" s="3" t="s">
        <v>1344</v>
      </c>
      <c r="E434" s="3" t="s">
        <v>32</v>
      </c>
      <c r="F434" s="1">
        <v>43043</v>
      </c>
      <c r="G434">
        <v>8</v>
      </c>
      <c r="H434" s="3" t="s">
        <v>907</v>
      </c>
      <c r="I434" s="3" t="s">
        <v>77</v>
      </c>
      <c r="J434" s="3" t="s">
        <v>29</v>
      </c>
      <c r="K434" s="3" t="s">
        <v>42</v>
      </c>
      <c r="L434">
        <v>1404</v>
      </c>
      <c r="M434" s="3" t="s">
        <v>909</v>
      </c>
      <c r="N434">
        <v>16848</v>
      </c>
      <c r="O434">
        <v>2106</v>
      </c>
      <c r="P434">
        <v>1</v>
      </c>
      <c r="Q434" s="3" t="s">
        <v>909</v>
      </c>
      <c r="R434">
        <v>5</v>
      </c>
      <c r="S434">
        <v>0</v>
      </c>
      <c r="T434" s="3" t="s">
        <v>908</v>
      </c>
      <c r="U434">
        <v>10</v>
      </c>
      <c r="V434" s="3" t="s">
        <v>917</v>
      </c>
    </row>
    <row r="435" spans="1:22" x14ac:dyDescent="0.3">
      <c r="A435">
        <v>434</v>
      </c>
      <c r="B435" s="3" t="s">
        <v>295</v>
      </c>
      <c r="C435" s="3" t="s">
        <v>632</v>
      </c>
      <c r="D435" s="3" t="s">
        <v>1345</v>
      </c>
      <c r="E435" s="3" t="s">
        <v>307</v>
      </c>
      <c r="F435" s="1">
        <v>43136</v>
      </c>
      <c r="G435">
        <v>8</v>
      </c>
      <c r="H435" s="3" t="s">
        <v>907</v>
      </c>
      <c r="I435" s="3" t="s">
        <v>17</v>
      </c>
      <c r="J435" s="3" t="s">
        <v>48</v>
      </c>
      <c r="K435" s="3" t="s">
        <v>36</v>
      </c>
      <c r="L435">
        <v>1848</v>
      </c>
      <c r="M435" s="3" t="s">
        <v>908</v>
      </c>
      <c r="N435">
        <v>22176</v>
      </c>
      <c r="O435">
        <v>2772</v>
      </c>
      <c r="P435">
        <v>3</v>
      </c>
      <c r="Q435" s="3" t="s">
        <v>908</v>
      </c>
      <c r="R435">
        <v>0</v>
      </c>
      <c r="S435">
        <v>0</v>
      </c>
      <c r="T435" s="3" t="s">
        <v>916</v>
      </c>
      <c r="U435">
        <v>2</v>
      </c>
      <c r="V435" s="3" t="s">
        <v>917</v>
      </c>
    </row>
    <row r="436" spans="1:22" x14ac:dyDescent="0.3">
      <c r="A436">
        <v>435</v>
      </c>
      <c r="B436" s="3" t="s">
        <v>37</v>
      </c>
      <c r="C436" s="3" t="s">
        <v>633</v>
      </c>
      <c r="D436" s="3" t="s">
        <v>1346</v>
      </c>
      <c r="E436" s="3" t="s">
        <v>307</v>
      </c>
      <c r="F436" s="1">
        <v>44082</v>
      </c>
      <c r="G436">
        <v>5</v>
      </c>
      <c r="H436" s="3" t="s">
        <v>912</v>
      </c>
      <c r="I436" s="3" t="s">
        <v>28</v>
      </c>
      <c r="J436" s="3" t="s">
        <v>18</v>
      </c>
      <c r="K436" s="3" t="s">
        <v>36</v>
      </c>
      <c r="L436">
        <v>2069</v>
      </c>
      <c r="M436" s="3" t="s">
        <v>908</v>
      </c>
      <c r="N436">
        <v>24828</v>
      </c>
      <c r="O436">
        <v>4965.6000000000004</v>
      </c>
      <c r="P436">
        <v>3</v>
      </c>
      <c r="Q436" s="3" t="s">
        <v>908</v>
      </c>
      <c r="R436">
        <v>2</v>
      </c>
      <c r="S436">
        <v>5</v>
      </c>
      <c r="T436" s="3" t="s">
        <v>913</v>
      </c>
      <c r="U436">
        <v>6</v>
      </c>
      <c r="V436" s="3" t="s">
        <v>917</v>
      </c>
    </row>
    <row r="437" spans="1:22" x14ac:dyDescent="0.3">
      <c r="A437">
        <v>436</v>
      </c>
      <c r="B437" s="3" t="s">
        <v>634</v>
      </c>
      <c r="C437" s="3" t="s">
        <v>635</v>
      </c>
      <c r="D437" s="3" t="s">
        <v>1347</v>
      </c>
      <c r="E437" s="3" t="s">
        <v>32</v>
      </c>
      <c r="F437" s="1">
        <v>44122</v>
      </c>
      <c r="G437">
        <v>5</v>
      </c>
      <c r="H437" s="3" t="s">
        <v>912</v>
      </c>
      <c r="I437" s="3" t="s">
        <v>77</v>
      </c>
      <c r="J437" s="3" t="s">
        <v>22</v>
      </c>
      <c r="K437" s="3" t="s">
        <v>36</v>
      </c>
      <c r="L437">
        <v>1072</v>
      </c>
      <c r="M437" s="3" t="s">
        <v>909</v>
      </c>
      <c r="N437">
        <v>12864</v>
      </c>
      <c r="O437">
        <v>2572.8000000000002</v>
      </c>
      <c r="P437">
        <v>4.5</v>
      </c>
      <c r="Q437" s="3" t="s">
        <v>913</v>
      </c>
      <c r="R437">
        <v>0</v>
      </c>
      <c r="S437">
        <v>0</v>
      </c>
      <c r="T437" s="3" t="s">
        <v>916</v>
      </c>
      <c r="U437">
        <v>6</v>
      </c>
      <c r="V437" s="3" t="s">
        <v>917</v>
      </c>
    </row>
    <row r="438" spans="1:22" x14ac:dyDescent="0.3">
      <c r="A438">
        <v>437</v>
      </c>
      <c r="B438" s="3" t="s">
        <v>636</v>
      </c>
      <c r="C438" s="3" t="s">
        <v>637</v>
      </c>
      <c r="D438" s="3" t="s">
        <v>1348</v>
      </c>
      <c r="E438" s="3" t="s">
        <v>307</v>
      </c>
      <c r="F438" s="1">
        <v>43813</v>
      </c>
      <c r="G438">
        <v>6</v>
      </c>
      <c r="H438" s="3" t="s">
        <v>912</v>
      </c>
      <c r="I438" s="3" t="s">
        <v>35</v>
      </c>
      <c r="J438" s="3" t="s">
        <v>18</v>
      </c>
      <c r="K438" s="3" t="s">
        <v>42</v>
      </c>
      <c r="L438">
        <v>1984</v>
      </c>
      <c r="M438" s="3" t="s">
        <v>908</v>
      </c>
      <c r="N438">
        <v>23808</v>
      </c>
      <c r="O438">
        <v>3968</v>
      </c>
      <c r="P438">
        <v>1</v>
      </c>
      <c r="Q438" s="3" t="s">
        <v>909</v>
      </c>
      <c r="R438">
        <v>1</v>
      </c>
      <c r="S438">
        <v>0</v>
      </c>
      <c r="T438" s="3" t="s">
        <v>909</v>
      </c>
      <c r="U438">
        <v>8</v>
      </c>
      <c r="V438" s="3" t="s">
        <v>917</v>
      </c>
    </row>
    <row r="439" spans="1:22" x14ac:dyDescent="0.3">
      <c r="A439">
        <v>438</v>
      </c>
      <c r="B439" s="3" t="s">
        <v>466</v>
      </c>
      <c r="C439" s="3" t="s">
        <v>638</v>
      </c>
      <c r="D439" s="3" t="s">
        <v>1349</v>
      </c>
      <c r="E439" s="3" t="s">
        <v>307</v>
      </c>
      <c r="F439" s="1">
        <v>44064</v>
      </c>
      <c r="G439">
        <v>6</v>
      </c>
      <c r="H439" s="3" t="s">
        <v>912</v>
      </c>
      <c r="I439" s="3" t="s">
        <v>41</v>
      </c>
      <c r="J439" s="3" t="s">
        <v>18</v>
      </c>
      <c r="K439" s="3" t="s">
        <v>36</v>
      </c>
      <c r="L439">
        <v>999</v>
      </c>
      <c r="M439" s="3" t="s">
        <v>909</v>
      </c>
      <c r="N439">
        <v>11988</v>
      </c>
      <c r="O439">
        <v>1998</v>
      </c>
      <c r="P439">
        <v>1</v>
      </c>
      <c r="Q439" s="3" t="s">
        <v>909</v>
      </c>
      <c r="R439">
        <v>5</v>
      </c>
      <c r="S439">
        <v>0</v>
      </c>
      <c r="T439" s="3" t="s">
        <v>908</v>
      </c>
      <c r="U439">
        <v>61</v>
      </c>
      <c r="V439" s="3" t="s">
        <v>910</v>
      </c>
    </row>
    <row r="440" spans="1:22" x14ac:dyDescent="0.3">
      <c r="A440">
        <v>439</v>
      </c>
      <c r="B440" s="3" t="s">
        <v>302</v>
      </c>
      <c r="C440" s="3" t="s">
        <v>639</v>
      </c>
      <c r="D440" s="3" t="s">
        <v>1350</v>
      </c>
      <c r="E440" s="3" t="s">
        <v>32</v>
      </c>
      <c r="F440" s="1">
        <v>43966</v>
      </c>
      <c r="G440">
        <v>6</v>
      </c>
      <c r="H440" s="3" t="s">
        <v>912</v>
      </c>
      <c r="I440" s="3" t="s">
        <v>17</v>
      </c>
      <c r="J440" s="3" t="s">
        <v>48</v>
      </c>
      <c r="K440" s="3" t="s">
        <v>19</v>
      </c>
      <c r="L440">
        <v>2915</v>
      </c>
      <c r="M440" s="3" t="s">
        <v>913</v>
      </c>
      <c r="N440">
        <v>34980</v>
      </c>
      <c r="O440">
        <v>5830</v>
      </c>
      <c r="P440">
        <v>3</v>
      </c>
      <c r="Q440" s="3" t="s">
        <v>908</v>
      </c>
      <c r="R440">
        <v>0</v>
      </c>
      <c r="S440">
        <v>0</v>
      </c>
      <c r="T440" s="3" t="s">
        <v>916</v>
      </c>
      <c r="U440">
        <v>5</v>
      </c>
      <c r="V440" s="3" t="s">
        <v>917</v>
      </c>
    </row>
    <row r="441" spans="1:22" x14ac:dyDescent="0.3">
      <c r="A441">
        <v>440</v>
      </c>
      <c r="B441" s="3" t="s">
        <v>66</v>
      </c>
      <c r="C441" s="3" t="s">
        <v>640</v>
      </c>
      <c r="D441" s="3" t="s">
        <v>1351</v>
      </c>
      <c r="E441" s="3" t="s">
        <v>32</v>
      </c>
      <c r="F441" s="1">
        <v>43770</v>
      </c>
      <c r="G441">
        <v>6</v>
      </c>
      <c r="H441" s="3" t="s">
        <v>912</v>
      </c>
      <c r="I441" s="3" t="s">
        <v>53</v>
      </c>
      <c r="J441" s="3" t="s">
        <v>18</v>
      </c>
      <c r="K441" s="3" t="s">
        <v>898</v>
      </c>
      <c r="L441">
        <v>3158</v>
      </c>
      <c r="M441" s="3" t="s">
        <v>913</v>
      </c>
      <c r="N441">
        <v>37896</v>
      </c>
      <c r="O441">
        <v>6316</v>
      </c>
      <c r="P441">
        <v>4.5</v>
      </c>
      <c r="Q441" s="3" t="s">
        <v>913</v>
      </c>
      <c r="R441">
        <v>3</v>
      </c>
      <c r="S441">
        <v>0</v>
      </c>
      <c r="T441" s="3" t="s">
        <v>909</v>
      </c>
      <c r="U441">
        <v>7</v>
      </c>
      <c r="V441" s="3" t="s">
        <v>917</v>
      </c>
    </row>
    <row r="442" spans="1:22" x14ac:dyDescent="0.3">
      <c r="A442">
        <v>441</v>
      </c>
      <c r="B442" s="3" t="s">
        <v>37</v>
      </c>
      <c r="C442" s="3" t="s">
        <v>340</v>
      </c>
      <c r="D442" s="3" t="s">
        <v>1352</v>
      </c>
      <c r="E442" s="3" t="s">
        <v>307</v>
      </c>
      <c r="F442" s="1">
        <v>42977</v>
      </c>
      <c r="G442">
        <v>9</v>
      </c>
      <c r="H442" s="3" t="s">
        <v>920</v>
      </c>
      <c r="I442" s="3" t="s">
        <v>50</v>
      </c>
      <c r="J442" s="3" t="s">
        <v>18</v>
      </c>
      <c r="K442" s="3" t="s">
        <v>36</v>
      </c>
      <c r="L442">
        <v>711</v>
      </c>
      <c r="M442" s="3" t="s">
        <v>909</v>
      </c>
      <c r="N442">
        <v>8532</v>
      </c>
      <c r="O442">
        <v>948</v>
      </c>
      <c r="P442">
        <v>5</v>
      </c>
      <c r="Q442" s="3" t="s">
        <v>913</v>
      </c>
      <c r="R442">
        <v>0</v>
      </c>
      <c r="S442">
        <v>0</v>
      </c>
      <c r="T442" s="3" t="s">
        <v>916</v>
      </c>
      <c r="U442">
        <v>10</v>
      </c>
      <c r="V442" s="3" t="s">
        <v>917</v>
      </c>
    </row>
    <row r="443" spans="1:22" x14ac:dyDescent="0.3">
      <c r="A443">
        <v>442</v>
      </c>
      <c r="B443" s="3" t="s">
        <v>641</v>
      </c>
      <c r="C443" s="3" t="s">
        <v>642</v>
      </c>
      <c r="D443" s="3" t="s">
        <v>1353</v>
      </c>
      <c r="E443" s="3" t="s">
        <v>32</v>
      </c>
      <c r="F443" s="1">
        <v>43195</v>
      </c>
      <c r="G443">
        <v>8</v>
      </c>
      <c r="H443" s="3" t="s">
        <v>907</v>
      </c>
      <c r="I443" s="3" t="s">
        <v>17</v>
      </c>
      <c r="J443" s="3" t="s">
        <v>22</v>
      </c>
      <c r="K443" s="3" t="s">
        <v>19</v>
      </c>
      <c r="L443">
        <v>899</v>
      </c>
      <c r="M443" s="3" t="s">
        <v>909</v>
      </c>
      <c r="N443">
        <v>10788</v>
      </c>
      <c r="O443">
        <v>1348.5</v>
      </c>
      <c r="P443">
        <v>5</v>
      </c>
      <c r="Q443" s="3" t="s">
        <v>913</v>
      </c>
      <c r="R443">
        <v>6</v>
      </c>
      <c r="S443">
        <v>0</v>
      </c>
      <c r="T443" s="3" t="s">
        <v>908</v>
      </c>
      <c r="U443">
        <v>38</v>
      </c>
      <c r="V443" s="3" t="s">
        <v>910</v>
      </c>
    </row>
    <row r="444" spans="1:22" x14ac:dyDescent="0.3">
      <c r="A444">
        <v>443</v>
      </c>
      <c r="B444" s="3" t="s">
        <v>263</v>
      </c>
      <c r="C444" s="3" t="s">
        <v>643</v>
      </c>
      <c r="D444" s="3" t="s">
        <v>1354</v>
      </c>
      <c r="E444" s="3" t="s">
        <v>32</v>
      </c>
      <c r="F444" s="1">
        <v>43900</v>
      </c>
      <c r="G444">
        <v>6</v>
      </c>
      <c r="H444" s="3" t="s">
        <v>912</v>
      </c>
      <c r="I444" s="3" t="s">
        <v>41</v>
      </c>
      <c r="J444" s="3" t="s">
        <v>18</v>
      </c>
      <c r="K444" s="3" t="s">
        <v>42</v>
      </c>
      <c r="L444">
        <v>2571</v>
      </c>
      <c r="M444" s="3" t="s">
        <v>913</v>
      </c>
      <c r="N444">
        <v>30852</v>
      </c>
      <c r="O444">
        <v>5142</v>
      </c>
      <c r="P444">
        <v>3</v>
      </c>
      <c r="Q444" s="3" t="s">
        <v>908</v>
      </c>
      <c r="R444">
        <v>1</v>
      </c>
      <c r="S444">
        <v>0</v>
      </c>
      <c r="T444" s="3" t="s">
        <v>909</v>
      </c>
      <c r="U444">
        <v>6</v>
      </c>
      <c r="V444" s="3" t="s">
        <v>917</v>
      </c>
    </row>
    <row r="445" spans="1:22" x14ac:dyDescent="0.3">
      <c r="A445">
        <v>444</v>
      </c>
      <c r="B445" s="3" t="s">
        <v>30</v>
      </c>
      <c r="C445" s="3" t="s">
        <v>644</v>
      </c>
      <c r="D445" s="3" t="s">
        <v>1355</v>
      </c>
      <c r="E445" s="3" t="s">
        <v>32</v>
      </c>
      <c r="F445" s="1">
        <v>43265</v>
      </c>
      <c r="G445">
        <v>8</v>
      </c>
      <c r="H445" s="3" t="s">
        <v>907</v>
      </c>
      <c r="I445" s="3" t="s">
        <v>17</v>
      </c>
      <c r="J445" s="3" t="s">
        <v>18</v>
      </c>
      <c r="K445" s="3" t="s">
        <v>898</v>
      </c>
      <c r="L445">
        <v>2437</v>
      </c>
      <c r="M445" s="3" t="s">
        <v>908</v>
      </c>
      <c r="N445">
        <v>29244</v>
      </c>
      <c r="O445">
        <v>3655.5</v>
      </c>
      <c r="P445">
        <v>5</v>
      </c>
      <c r="Q445" s="3" t="s">
        <v>913</v>
      </c>
      <c r="R445">
        <v>0</v>
      </c>
      <c r="S445">
        <v>4</v>
      </c>
      <c r="T445" s="3" t="s">
        <v>908</v>
      </c>
      <c r="U445">
        <v>8</v>
      </c>
      <c r="V445" s="3" t="s">
        <v>917</v>
      </c>
    </row>
    <row r="446" spans="1:22" x14ac:dyDescent="0.3">
      <c r="A446">
        <v>445</v>
      </c>
      <c r="B446" s="3" t="s">
        <v>645</v>
      </c>
      <c r="C446" s="3" t="s">
        <v>646</v>
      </c>
      <c r="D446" s="3" t="s">
        <v>1356</v>
      </c>
      <c r="E446" s="3" t="s">
        <v>307</v>
      </c>
      <c r="F446" s="1">
        <v>43542</v>
      </c>
      <c r="G446">
        <v>7</v>
      </c>
      <c r="H446" s="3" t="s">
        <v>907</v>
      </c>
      <c r="I446" s="3" t="s">
        <v>28</v>
      </c>
      <c r="J446" s="3" t="s">
        <v>18</v>
      </c>
      <c r="K446" s="3" t="s">
        <v>898</v>
      </c>
      <c r="L446">
        <v>2453</v>
      </c>
      <c r="M446" s="3" t="s">
        <v>908</v>
      </c>
      <c r="N446">
        <v>29436</v>
      </c>
      <c r="O446">
        <v>4205.1428571428569</v>
      </c>
      <c r="P446">
        <v>5</v>
      </c>
      <c r="Q446" s="3" t="s">
        <v>913</v>
      </c>
      <c r="R446">
        <v>1</v>
      </c>
      <c r="S446">
        <v>0</v>
      </c>
      <c r="T446" s="3" t="s">
        <v>909</v>
      </c>
      <c r="U446">
        <v>6</v>
      </c>
      <c r="V446" s="3" t="s">
        <v>917</v>
      </c>
    </row>
    <row r="447" spans="1:22" x14ac:dyDescent="0.3">
      <c r="A447">
        <v>446</v>
      </c>
      <c r="B447" s="3" t="s">
        <v>647</v>
      </c>
      <c r="C447" s="3" t="s">
        <v>142</v>
      </c>
      <c r="D447" s="3" t="s">
        <v>1357</v>
      </c>
      <c r="E447" s="3" t="s">
        <v>307</v>
      </c>
      <c r="F447" s="1">
        <v>43279</v>
      </c>
      <c r="G447">
        <v>8</v>
      </c>
      <c r="H447" s="3" t="s">
        <v>907</v>
      </c>
      <c r="I447" s="3" t="s">
        <v>28</v>
      </c>
      <c r="J447" s="3" t="s">
        <v>18</v>
      </c>
      <c r="K447" s="3" t="s">
        <v>898</v>
      </c>
      <c r="L447">
        <v>1839</v>
      </c>
      <c r="M447" s="3" t="s">
        <v>908</v>
      </c>
      <c r="N447">
        <v>22068</v>
      </c>
      <c r="O447">
        <v>2758.5</v>
      </c>
      <c r="P447">
        <v>5</v>
      </c>
      <c r="Q447" s="3" t="s">
        <v>913</v>
      </c>
      <c r="R447">
        <v>1</v>
      </c>
      <c r="S447">
        <v>0</v>
      </c>
      <c r="T447" s="3" t="s">
        <v>909</v>
      </c>
      <c r="U447">
        <v>9</v>
      </c>
      <c r="V447" s="3" t="s">
        <v>917</v>
      </c>
    </row>
    <row r="448" spans="1:22" x14ac:dyDescent="0.3">
      <c r="A448">
        <v>447</v>
      </c>
      <c r="B448" s="3" t="s">
        <v>127</v>
      </c>
      <c r="C448" s="3" t="s">
        <v>648</v>
      </c>
      <c r="D448" s="3" t="s">
        <v>1358</v>
      </c>
      <c r="E448" s="3" t="s">
        <v>32</v>
      </c>
      <c r="F448" s="1">
        <v>42787</v>
      </c>
      <c r="G448">
        <v>9</v>
      </c>
      <c r="H448" s="3" t="s">
        <v>920</v>
      </c>
      <c r="I448" s="3" t="s">
        <v>17</v>
      </c>
      <c r="J448" s="3" t="s">
        <v>29</v>
      </c>
      <c r="K448" s="3" t="s">
        <v>19</v>
      </c>
      <c r="L448">
        <v>2306</v>
      </c>
      <c r="M448" s="3" t="s">
        <v>908</v>
      </c>
      <c r="N448">
        <v>27672</v>
      </c>
      <c r="O448">
        <v>3074.6666666666665</v>
      </c>
      <c r="P448">
        <v>1</v>
      </c>
      <c r="Q448" s="3" t="s">
        <v>909</v>
      </c>
      <c r="R448">
        <v>6</v>
      </c>
      <c r="S448">
        <v>0</v>
      </c>
      <c r="T448" s="3" t="s">
        <v>908</v>
      </c>
      <c r="U448">
        <v>7</v>
      </c>
      <c r="V448" s="3" t="s">
        <v>917</v>
      </c>
    </row>
    <row r="449" spans="1:22" x14ac:dyDescent="0.3">
      <c r="A449">
        <v>448</v>
      </c>
      <c r="B449" s="3" t="s">
        <v>33</v>
      </c>
      <c r="C449" s="3" t="s">
        <v>649</v>
      </c>
      <c r="D449" s="3" t="s">
        <v>1359</v>
      </c>
      <c r="E449" s="3" t="s">
        <v>32</v>
      </c>
      <c r="F449" s="1">
        <v>43269</v>
      </c>
      <c r="G449">
        <v>8</v>
      </c>
      <c r="H449" s="3" t="s">
        <v>907</v>
      </c>
      <c r="I449" s="3" t="s">
        <v>35</v>
      </c>
      <c r="J449" s="3" t="s">
        <v>48</v>
      </c>
      <c r="K449" s="3" t="s">
        <v>42</v>
      </c>
      <c r="L449">
        <v>970</v>
      </c>
      <c r="M449" s="3" t="s">
        <v>909</v>
      </c>
      <c r="N449">
        <v>11640</v>
      </c>
      <c r="O449">
        <v>1455</v>
      </c>
      <c r="P449">
        <v>1</v>
      </c>
      <c r="Q449" s="3" t="s">
        <v>909</v>
      </c>
      <c r="R449">
        <v>0</v>
      </c>
      <c r="S449">
        <v>0</v>
      </c>
      <c r="T449" s="3" t="s">
        <v>916</v>
      </c>
      <c r="U449">
        <v>5</v>
      </c>
      <c r="V449" s="3" t="s">
        <v>917</v>
      </c>
    </row>
    <row r="450" spans="1:22" x14ac:dyDescent="0.3">
      <c r="A450">
        <v>449</v>
      </c>
      <c r="B450" s="3" t="s">
        <v>650</v>
      </c>
      <c r="C450" s="3" t="s">
        <v>496</v>
      </c>
      <c r="D450" s="3" t="s">
        <v>1360</v>
      </c>
      <c r="E450" s="3" t="s">
        <v>32</v>
      </c>
      <c r="F450" s="1">
        <v>43224</v>
      </c>
      <c r="G450">
        <v>8</v>
      </c>
      <c r="H450" s="3" t="s">
        <v>907</v>
      </c>
      <c r="I450" s="3" t="s">
        <v>77</v>
      </c>
      <c r="J450" s="3" t="s">
        <v>18</v>
      </c>
      <c r="K450" s="3" t="s">
        <v>36</v>
      </c>
      <c r="L450">
        <v>3140</v>
      </c>
      <c r="M450" s="3" t="s">
        <v>913</v>
      </c>
      <c r="N450">
        <v>37680</v>
      </c>
      <c r="O450">
        <v>4710</v>
      </c>
      <c r="P450">
        <v>3</v>
      </c>
      <c r="Q450" s="3" t="s">
        <v>908</v>
      </c>
      <c r="R450">
        <v>6</v>
      </c>
      <c r="S450">
        <v>1</v>
      </c>
      <c r="T450" s="3" t="s">
        <v>913</v>
      </c>
      <c r="U450">
        <v>5</v>
      </c>
      <c r="V450" s="3" t="s">
        <v>917</v>
      </c>
    </row>
    <row r="451" spans="1:22" x14ac:dyDescent="0.3">
      <c r="A451">
        <v>450</v>
      </c>
      <c r="B451" s="3" t="s">
        <v>651</v>
      </c>
      <c r="C451" s="3" t="s">
        <v>652</v>
      </c>
      <c r="D451" s="3" t="s">
        <v>1361</v>
      </c>
      <c r="E451" s="3" t="s">
        <v>307</v>
      </c>
      <c r="F451" s="1">
        <v>42835</v>
      </c>
      <c r="G451">
        <v>9</v>
      </c>
      <c r="H451" s="3" t="s">
        <v>920</v>
      </c>
      <c r="I451" s="3" t="s">
        <v>88</v>
      </c>
      <c r="J451" s="3" t="s">
        <v>18</v>
      </c>
      <c r="K451" s="3" t="s">
        <v>42</v>
      </c>
      <c r="L451">
        <v>1176</v>
      </c>
      <c r="M451" s="3" t="s">
        <v>909</v>
      </c>
      <c r="N451">
        <v>14112</v>
      </c>
      <c r="O451">
        <v>1568</v>
      </c>
      <c r="P451">
        <v>5</v>
      </c>
      <c r="Q451" s="3" t="s">
        <v>913</v>
      </c>
      <c r="R451">
        <v>2</v>
      </c>
      <c r="S451">
        <v>0</v>
      </c>
      <c r="T451" s="3" t="s">
        <v>909</v>
      </c>
      <c r="U451">
        <v>6</v>
      </c>
      <c r="V451" s="3" t="s">
        <v>917</v>
      </c>
    </row>
    <row r="452" spans="1:22" x14ac:dyDescent="0.3">
      <c r="A452">
        <v>451</v>
      </c>
      <c r="B452" s="3" t="s">
        <v>30</v>
      </c>
      <c r="C452" s="3" t="s">
        <v>653</v>
      </c>
      <c r="D452" s="3" t="s">
        <v>1362</v>
      </c>
      <c r="E452" s="3" t="s">
        <v>32</v>
      </c>
      <c r="F452" s="1">
        <v>43698</v>
      </c>
      <c r="G452">
        <v>7</v>
      </c>
      <c r="H452" s="3" t="s">
        <v>907</v>
      </c>
      <c r="I452" s="3" t="s">
        <v>53</v>
      </c>
      <c r="J452" s="3" t="s">
        <v>29</v>
      </c>
      <c r="K452" s="3" t="s">
        <v>898</v>
      </c>
      <c r="L452">
        <v>2742</v>
      </c>
      <c r="M452" s="3" t="s">
        <v>913</v>
      </c>
      <c r="N452">
        <v>32904</v>
      </c>
      <c r="O452">
        <v>4700.5714285714284</v>
      </c>
      <c r="P452">
        <v>5</v>
      </c>
      <c r="Q452" s="3" t="s">
        <v>913</v>
      </c>
      <c r="R452">
        <v>0</v>
      </c>
      <c r="S452">
        <v>0</v>
      </c>
      <c r="T452" s="3" t="s">
        <v>916</v>
      </c>
      <c r="U452">
        <v>9</v>
      </c>
      <c r="V452" s="3" t="s">
        <v>917</v>
      </c>
    </row>
    <row r="453" spans="1:22" x14ac:dyDescent="0.3">
      <c r="A453">
        <v>452</v>
      </c>
      <c r="B453" s="3" t="s">
        <v>654</v>
      </c>
      <c r="C453" s="3" t="s">
        <v>655</v>
      </c>
      <c r="D453" s="3" t="s">
        <v>1363</v>
      </c>
      <c r="E453" s="3" t="s">
        <v>32</v>
      </c>
      <c r="F453" s="1">
        <v>42996</v>
      </c>
      <c r="G453">
        <v>8</v>
      </c>
      <c r="H453" s="3" t="s">
        <v>907</v>
      </c>
      <c r="I453" s="3" t="s">
        <v>17</v>
      </c>
      <c r="J453" s="3" t="s">
        <v>18</v>
      </c>
      <c r="K453" s="3" t="s">
        <v>19</v>
      </c>
      <c r="L453">
        <v>734</v>
      </c>
      <c r="M453" s="3" t="s">
        <v>909</v>
      </c>
      <c r="N453">
        <v>8808</v>
      </c>
      <c r="O453">
        <v>1101</v>
      </c>
      <c r="P453">
        <v>3</v>
      </c>
      <c r="Q453" s="3" t="s">
        <v>908</v>
      </c>
      <c r="R453">
        <v>0</v>
      </c>
      <c r="S453">
        <v>0</v>
      </c>
      <c r="T453" s="3" t="s">
        <v>916</v>
      </c>
      <c r="U453">
        <v>0</v>
      </c>
      <c r="V453" s="3" t="s">
        <v>955</v>
      </c>
    </row>
    <row r="454" spans="1:22" x14ac:dyDescent="0.3">
      <c r="A454">
        <v>453</v>
      </c>
      <c r="B454" s="3" t="s">
        <v>656</v>
      </c>
      <c r="C454" s="3" t="s">
        <v>657</v>
      </c>
      <c r="D454" s="3" t="s">
        <v>1364</v>
      </c>
      <c r="E454" s="3" t="s">
        <v>32</v>
      </c>
      <c r="F454" s="1">
        <v>43133</v>
      </c>
      <c r="G454">
        <v>8</v>
      </c>
      <c r="H454" s="3" t="s">
        <v>907</v>
      </c>
      <c r="I454" s="3" t="s">
        <v>28</v>
      </c>
      <c r="J454" s="3" t="s">
        <v>48</v>
      </c>
      <c r="K454" s="3" t="s">
        <v>42</v>
      </c>
      <c r="L454">
        <v>894</v>
      </c>
      <c r="M454" s="3" t="s">
        <v>909</v>
      </c>
      <c r="N454">
        <v>10728</v>
      </c>
      <c r="O454">
        <v>1341</v>
      </c>
      <c r="P454">
        <v>3</v>
      </c>
      <c r="Q454" s="3" t="s">
        <v>908</v>
      </c>
      <c r="R454">
        <v>6</v>
      </c>
      <c r="S454">
        <v>0</v>
      </c>
      <c r="T454" s="3" t="s">
        <v>908</v>
      </c>
      <c r="U454">
        <v>93</v>
      </c>
      <c r="V454" s="3" t="s">
        <v>910</v>
      </c>
    </row>
    <row r="455" spans="1:22" x14ac:dyDescent="0.3">
      <c r="A455">
        <v>454</v>
      </c>
      <c r="B455" s="3" t="s">
        <v>295</v>
      </c>
      <c r="C455" s="3" t="s">
        <v>658</v>
      </c>
      <c r="D455" s="3" t="s">
        <v>1365</v>
      </c>
      <c r="E455" s="3" t="s">
        <v>307</v>
      </c>
      <c r="F455" s="1">
        <v>44144</v>
      </c>
      <c r="G455">
        <v>5</v>
      </c>
      <c r="H455" s="3" t="s">
        <v>912</v>
      </c>
      <c r="I455" s="3" t="s">
        <v>41</v>
      </c>
      <c r="J455" s="3" t="s">
        <v>22</v>
      </c>
      <c r="K455" s="3" t="s">
        <v>898</v>
      </c>
      <c r="L455">
        <v>2640</v>
      </c>
      <c r="M455" s="3" t="s">
        <v>913</v>
      </c>
      <c r="N455">
        <v>31680</v>
      </c>
      <c r="O455">
        <v>6336</v>
      </c>
      <c r="P455">
        <v>4.5</v>
      </c>
      <c r="Q455" s="3" t="s">
        <v>913</v>
      </c>
      <c r="R455">
        <v>1</v>
      </c>
      <c r="S455">
        <v>5</v>
      </c>
      <c r="T455" s="3" t="s">
        <v>908</v>
      </c>
      <c r="U455">
        <v>4</v>
      </c>
      <c r="V455" s="3" t="s">
        <v>917</v>
      </c>
    </row>
    <row r="456" spans="1:22" x14ac:dyDescent="0.3">
      <c r="A456">
        <v>455</v>
      </c>
      <c r="B456" s="3" t="s">
        <v>206</v>
      </c>
      <c r="C456" s="3" t="s">
        <v>659</v>
      </c>
      <c r="D456" s="3" t="s">
        <v>1366</v>
      </c>
      <c r="E456" s="3" t="s">
        <v>307</v>
      </c>
      <c r="F456" s="1">
        <v>43497</v>
      </c>
      <c r="G456">
        <v>7</v>
      </c>
      <c r="H456" s="3" t="s">
        <v>907</v>
      </c>
      <c r="I456" s="3" t="s">
        <v>28</v>
      </c>
      <c r="J456" s="3" t="s">
        <v>18</v>
      </c>
      <c r="K456" s="3" t="s">
        <v>36</v>
      </c>
      <c r="L456">
        <v>1059</v>
      </c>
      <c r="M456" s="3" t="s">
        <v>909</v>
      </c>
      <c r="N456">
        <v>12708</v>
      </c>
      <c r="O456">
        <v>1815.4285714285713</v>
      </c>
      <c r="P456">
        <v>2</v>
      </c>
      <c r="Q456" s="3" t="s">
        <v>909</v>
      </c>
      <c r="R456">
        <v>0</v>
      </c>
      <c r="S456">
        <v>0</v>
      </c>
      <c r="T456" s="3" t="s">
        <v>916</v>
      </c>
      <c r="U456">
        <v>14</v>
      </c>
      <c r="V456" s="3" t="s">
        <v>910</v>
      </c>
    </row>
    <row r="457" spans="1:22" x14ac:dyDescent="0.3">
      <c r="A457">
        <v>456</v>
      </c>
      <c r="B457" s="3" t="s">
        <v>497</v>
      </c>
      <c r="C457" s="3" t="s">
        <v>660</v>
      </c>
      <c r="D457" s="3" t="s">
        <v>1367</v>
      </c>
      <c r="E457" s="3" t="s">
        <v>307</v>
      </c>
      <c r="F457" s="1">
        <v>43260</v>
      </c>
      <c r="G457">
        <v>8</v>
      </c>
      <c r="H457" s="3" t="s">
        <v>907</v>
      </c>
      <c r="I457" s="3" t="s">
        <v>35</v>
      </c>
      <c r="J457" s="3" t="s">
        <v>294</v>
      </c>
      <c r="K457" s="3" t="s">
        <v>36</v>
      </c>
      <c r="L457">
        <v>3337</v>
      </c>
      <c r="M457" s="3" t="s">
        <v>913</v>
      </c>
      <c r="N457">
        <v>40044</v>
      </c>
      <c r="O457">
        <v>5005.5</v>
      </c>
      <c r="P457">
        <v>3</v>
      </c>
      <c r="Q457" s="3" t="s">
        <v>908</v>
      </c>
      <c r="R457">
        <v>0</v>
      </c>
      <c r="S457">
        <v>2</v>
      </c>
      <c r="T457" s="3" t="s">
        <v>909</v>
      </c>
      <c r="U457">
        <v>6</v>
      </c>
      <c r="V457" s="3" t="s">
        <v>917</v>
      </c>
    </row>
    <row r="458" spans="1:22" x14ac:dyDescent="0.3">
      <c r="A458">
        <v>457</v>
      </c>
      <c r="B458" s="3" t="s">
        <v>33</v>
      </c>
      <c r="C458" s="3" t="s">
        <v>661</v>
      </c>
      <c r="D458" s="3" t="s">
        <v>1368</v>
      </c>
      <c r="E458" s="3" t="s">
        <v>32</v>
      </c>
      <c r="F458" s="1">
        <v>44063</v>
      </c>
      <c r="G458">
        <v>6</v>
      </c>
      <c r="H458" s="3" t="s">
        <v>912</v>
      </c>
      <c r="I458" s="3" t="s">
        <v>77</v>
      </c>
      <c r="J458" s="3" t="s">
        <v>18</v>
      </c>
      <c r="K458" s="3" t="s">
        <v>36</v>
      </c>
      <c r="L458">
        <v>3154</v>
      </c>
      <c r="M458" s="3" t="s">
        <v>913</v>
      </c>
      <c r="N458">
        <v>37848</v>
      </c>
      <c r="O458">
        <v>6308</v>
      </c>
      <c r="P458">
        <v>3</v>
      </c>
      <c r="Q458" s="3" t="s">
        <v>908</v>
      </c>
      <c r="R458">
        <v>0</v>
      </c>
      <c r="S458">
        <v>0</v>
      </c>
      <c r="T458" s="3" t="s">
        <v>916</v>
      </c>
      <c r="U458">
        <v>6</v>
      </c>
      <c r="V458" s="3" t="s">
        <v>917</v>
      </c>
    </row>
    <row r="459" spans="1:22" x14ac:dyDescent="0.3">
      <c r="A459">
        <v>458</v>
      </c>
      <c r="B459" s="3" t="s">
        <v>30</v>
      </c>
      <c r="C459" s="3" t="s">
        <v>662</v>
      </c>
      <c r="D459" s="3" t="s">
        <v>1369</v>
      </c>
      <c r="E459" s="3" t="s">
        <v>32</v>
      </c>
      <c r="F459" s="1">
        <v>43508</v>
      </c>
      <c r="G459">
        <v>7</v>
      </c>
      <c r="H459" s="3" t="s">
        <v>907</v>
      </c>
      <c r="I459" s="3" t="s">
        <v>53</v>
      </c>
      <c r="J459" s="3" t="s">
        <v>18</v>
      </c>
      <c r="K459" s="3" t="s">
        <v>42</v>
      </c>
      <c r="L459">
        <v>1618</v>
      </c>
      <c r="M459" s="3" t="s">
        <v>908</v>
      </c>
      <c r="N459">
        <v>19416</v>
      </c>
      <c r="O459">
        <v>2773.7142857142858</v>
      </c>
      <c r="P459">
        <v>3</v>
      </c>
      <c r="Q459" s="3" t="s">
        <v>908</v>
      </c>
      <c r="R459">
        <v>1</v>
      </c>
      <c r="S459">
        <v>0</v>
      </c>
      <c r="T459" s="3" t="s">
        <v>909</v>
      </c>
      <c r="U459">
        <v>1</v>
      </c>
      <c r="V459" s="3" t="s">
        <v>917</v>
      </c>
    </row>
    <row r="460" spans="1:22" x14ac:dyDescent="0.3">
      <c r="A460">
        <v>459</v>
      </c>
      <c r="B460" s="3" t="s">
        <v>33</v>
      </c>
      <c r="C460" s="3" t="s">
        <v>663</v>
      </c>
      <c r="D460" s="3" t="s">
        <v>1370</v>
      </c>
      <c r="E460" s="3" t="s">
        <v>32</v>
      </c>
      <c r="F460" s="1">
        <v>42786</v>
      </c>
      <c r="G460">
        <v>9</v>
      </c>
      <c r="H460" s="3" t="s">
        <v>920</v>
      </c>
      <c r="I460" s="3" t="s">
        <v>77</v>
      </c>
      <c r="J460" s="3" t="s">
        <v>29</v>
      </c>
      <c r="K460" s="3" t="s">
        <v>42</v>
      </c>
      <c r="L460">
        <v>1248</v>
      </c>
      <c r="M460" s="3" t="s">
        <v>909</v>
      </c>
      <c r="N460">
        <v>14976</v>
      </c>
      <c r="O460">
        <v>1664</v>
      </c>
      <c r="P460">
        <v>5</v>
      </c>
      <c r="Q460" s="3" t="s">
        <v>913</v>
      </c>
      <c r="R460">
        <v>0</v>
      </c>
      <c r="S460">
        <v>6</v>
      </c>
      <c r="T460" s="3" t="s">
        <v>908</v>
      </c>
      <c r="U460">
        <v>7</v>
      </c>
      <c r="V460" s="3" t="s">
        <v>917</v>
      </c>
    </row>
    <row r="461" spans="1:22" x14ac:dyDescent="0.3">
      <c r="A461">
        <v>460</v>
      </c>
      <c r="B461" s="3" t="s">
        <v>664</v>
      </c>
      <c r="C461" s="3" t="s">
        <v>665</v>
      </c>
      <c r="D461" s="3" t="s">
        <v>1371</v>
      </c>
      <c r="E461" s="3" t="s">
        <v>307</v>
      </c>
      <c r="F461" s="1">
        <v>42978</v>
      </c>
      <c r="G461">
        <v>8</v>
      </c>
      <c r="H461" s="3" t="s">
        <v>907</v>
      </c>
      <c r="I461" s="3" t="s">
        <v>77</v>
      </c>
      <c r="J461" s="3" t="s">
        <v>18</v>
      </c>
      <c r="K461" s="3" t="s">
        <v>60</v>
      </c>
      <c r="L461">
        <v>1523</v>
      </c>
      <c r="M461" s="3" t="s">
        <v>908</v>
      </c>
      <c r="N461">
        <v>18276</v>
      </c>
      <c r="O461">
        <v>2284.5</v>
      </c>
      <c r="P461">
        <v>3</v>
      </c>
      <c r="Q461" s="3" t="s">
        <v>908</v>
      </c>
      <c r="R461">
        <v>6</v>
      </c>
      <c r="S461">
        <v>5</v>
      </c>
      <c r="T461" s="3" t="s">
        <v>913</v>
      </c>
      <c r="U461">
        <v>4</v>
      </c>
      <c r="V461" s="3" t="s">
        <v>917</v>
      </c>
    </row>
    <row r="462" spans="1:22" x14ac:dyDescent="0.3">
      <c r="A462">
        <v>461</v>
      </c>
      <c r="B462" s="3" t="s">
        <v>666</v>
      </c>
      <c r="C462" s="3" t="s">
        <v>667</v>
      </c>
      <c r="D462" s="3" t="s">
        <v>1372</v>
      </c>
      <c r="E462" s="3" t="s">
        <v>307</v>
      </c>
      <c r="F462" s="1">
        <v>43475</v>
      </c>
      <c r="G462">
        <v>7</v>
      </c>
      <c r="H462" s="3" t="s">
        <v>907</v>
      </c>
      <c r="I462" s="3" t="s">
        <v>28</v>
      </c>
      <c r="J462" s="3" t="s">
        <v>18</v>
      </c>
      <c r="K462" s="3" t="s">
        <v>36</v>
      </c>
      <c r="L462">
        <v>1275</v>
      </c>
      <c r="M462" s="3" t="s">
        <v>909</v>
      </c>
      <c r="N462">
        <v>15300</v>
      </c>
      <c r="O462">
        <v>2185.7142857142858</v>
      </c>
      <c r="P462">
        <v>4.5</v>
      </c>
      <c r="Q462" s="3" t="s">
        <v>913</v>
      </c>
      <c r="R462">
        <v>3</v>
      </c>
      <c r="S462">
        <v>0</v>
      </c>
      <c r="T462" s="3" t="s">
        <v>909</v>
      </c>
      <c r="U462">
        <v>9</v>
      </c>
      <c r="V462" s="3" t="s">
        <v>917</v>
      </c>
    </row>
    <row r="463" spans="1:22" x14ac:dyDescent="0.3">
      <c r="A463">
        <v>462</v>
      </c>
      <c r="B463" s="3" t="s">
        <v>369</v>
      </c>
      <c r="C463" s="3" t="s">
        <v>668</v>
      </c>
      <c r="D463" s="3" t="s">
        <v>1373</v>
      </c>
      <c r="E463" s="3" t="s">
        <v>32</v>
      </c>
      <c r="F463" s="1">
        <v>43472</v>
      </c>
      <c r="G463">
        <v>7</v>
      </c>
      <c r="H463" s="3" t="s">
        <v>907</v>
      </c>
      <c r="I463" s="3" t="s">
        <v>41</v>
      </c>
      <c r="J463" s="3" t="s">
        <v>48</v>
      </c>
      <c r="K463" s="3" t="s">
        <v>36</v>
      </c>
      <c r="L463">
        <v>1549</v>
      </c>
      <c r="M463" s="3" t="s">
        <v>908</v>
      </c>
      <c r="N463">
        <v>18588</v>
      </c>
      <c r="O463">
        <v>2655.4285714285716</v>
      </c>
      <c r="P463">
        <v>3</v>
      </c>
      <c r="Q463" s="3" t="s">
        <v>908</v>
      </c>
      <c r="R463">
        <v>2</v>
      </c>
      <c r="S463">
        <v>0</v>
      </c>
      <c r="T463" s="3" t="s">
        <v>909</v>
      </c>
      <c r="U463">
        <v>5</v>
      </c>
      <c r="V463" s="3" t="s">
        <v>917</v>
      </c>
    </row>
    <row r="464" spans="1:22" x14ac:dyDescent="0.3">
      <c r="A464">
        <v>463</v>
      </c>
      <c r="B464" s="3" t="s">
        <v>373</v>
      </c>
      <c r="C464" s="3" t="s">
        <v>669</v>
      </c>
      <c r="D464" s="3" t="s">
        <v>1374</v>
      </c>
      <c r="E464" s="3" t="s">
        <v>32</v>
      </c>
      <c r="F464" s="1">
        <v>43618</v>
      </c>
      <c r="G464">
        <v>7</v>
      </c>
      <c r="H464" s="3" t="s">
        <v>907</v>
      </c>
      <c r="I464" s="3" t="s">
        <v>88</v>
      </c>
      <c r="J464" s="3" t="s">
        <v>22</v>
      </c>
      <c r="K464" s="3" t="s">
        <v>898</v>
      </c>
      <c r="L464">
        <v>1786</v>
      </c>
      <c r="M464" s="3" t="s">
        <v>908</v>
      </c>
      <c r="N464">
        <v>21432</v>
      </c>
      <c r="O464">
        <v>3061.7142857142858</v>
      </c>
      <c r="P464">
        <v>3</v>
      </c>
      <c r="Q464" s="3" t="s">
        <v>908</v>
      </c>
      <c r="R464">
        <v>4</v>
      </c>
      <c r="S464">
        <v>4</v>
      </c>
      <c r="T464" s="3" t="s">
        <v>913</v>
      </c>
      <c r="U464">
        <v>1</v>
      </c>
      <c r="V464" s="3" t="s">
        <v>917</v>
      </c>
    </row>
    <row r="465" spans="1:22" x14ac:dyDescent="0.3">
      <c r="A465">
        <v>464</v>
      </c>
      <c r="B465" s="3" t="s">
        <v>33</v>
      </c>
      <c r="C465" s="3" t="s">
        <v>670</v>
      </c>
      <c r="D465" s="3" t="s">
        <v>1375</v>
      </c>
      <c r="E465" s="3" t="s">
        <v>32</v>
      </c>
      <c r="F465" s="1">
        <v>43557</v>
      </c>
      <c r="G465">
        <v>7</v>
      </c>
      <c r="H465" s="3" t="s">
        <v>907</v>
      </c>
      <c r="I465" s="3" t="s">
        <v>77</v>
      </c>
      <c r="J465" s="3" t="s">
        <v>22</v>
      </c>
      <c r="K465" s="3" t="s">
        <v>42</v>
      </c>
      <c r="L465">
        <v>1908</v>
      </c>
      <c r="M465" s="3" t="s">
        <v>908</v>
      </c>
      <c r="N465">
        <v>22896</v>
      </c>
      <c r="O465">
        <v>3270.8571428571427</v>
      </c>
      <c r="P465">
        <v>1</v>
      </c>
      <c r="Q465" s="3" t="s">
        <v>909</v>
      </c>
      <c r="R465">
        <v>0</v>
      </c>
      <c r="S465">
        <v>5</v>
      </c>
      <c r="T465" s="3" t="s">
        <v>908</v>
      </c>
      <c r="U465">
        <v>7</v>
      </c>
      <c r="V465" s="3" t="s">
        <v>917</v>
      </c>
    </row>
    <row r="466" spans="1:22" x14ac:dyDescent="0.3">
      <c r="A466">
        <v>465</v>
      </c>
      <c r="B466" s="3" t="s">
        <v>30</v>
      </c>
      <c r="C466" s="3" t="s">
        <v>517</v>
      </c>
      <c r="D466" s="3" t="s">
        <v>1244</v>
      </c>
      <c r="E466" s="3" t="s">
        <v>32</v>
      </c>
      <c r="F466" s="1">
        <v>43249</v>
      </c>
      <c r="G466">
        <v>8</v>
      </c>
      <c r="H466" s="3" t="s">
        <v>907</v>
      </c>
      <c r="I466" s="3" t="s">
        <v>53</v>
      </c>
      <c r="J466" s="3" t="s">
        <v>29</v>
      </c>
      <c r="K466" s="3" t="s">
        <v>36</v>
      </c>
      <c r="L466">
        <v>2321</v>
      </c>
      <c r="M466" s="3" t="s">
        <v>908</v>
      </c>
      <c r="N466">
        <v>27852</v>
      </c>
      <c r="O466">
        <v>3481.5</v>
      </c>
      <c r="P466">
        <v>5</v>
      </c>
      <c r="Q466" s="3" t="s">
        <v>913</v>
      </c>
      <c r="R466">
        <v>0</v>
      </c>
      <c r="S466">
        <v>0</v>
      </c>
      <c r="T466" s="3" t="s">
        <v>916</v>
      </c>
      <c r="U466">
        <v>6</v>
      </c>
      <c r="V466" s="3" t="s">
        <v>917</v>
      </c>
    </row>
    <row r="467" spans="1:22" x14ac:dyDescent="0.3">
      <c r="A467">
        <v>466</v>
      </c>
      <c r="B467" s="3" t="s">
        <v>671</v>
      </c>
      <c r="C467" s="3" t="s">
        <v>672</v>
      </c>
      <c r="D467" s="3" t="s">
        <v>1376</v>
      </c>
      <c r="E467" s="3" t="s">
        <v>32</v>
      </c>
      <c r="F467" s="1">
        <v>44109</v>
      </c>
      <c r="G467">
        <v>5</v>
      </c>
      <c r="H467" s="3" t="s">
        <v>912</v>
      </c>
      <c r="I467" s="3" t="s">
        <v>53</v>
      </c>
      <c r="J467" s="3" t="s">
        <v>29</v>
      </c>
      <c r="K467" s="3" t="s">
        <v>42</v>
      </c>
      <c r="L467">
        <v>899</v>
      </c>
      <c r="M467" s="3" t="s">
        <v>909</v>
      </c>
      <c r="N467">
        <v>10788</v>
      </c>
      <c r="O467">
        <v>2157.6</v>
      </c>
      <c r="P467">
        <v>1</v>
      </c>
      <c r="Q467" s="3" t="s">
        <v>909</v>
      </c>
      <c r="R467">
        <v>4</v>
      </c>
      <c r="S467">
        <v>0</v>
      </c>
      <c r="T467" s="3" t="s">
        <v>908</v>
      </c>
      <c r="U467">
        <v>27</v>
      </c>
      <c r="V467" s="3" t="s">
        <v>910</v>
      </c>
    </row>
    <row r="468" spans="1:22" x14ac:dyDescent="0.3">
      <c r="A468">
        <v>467</v>
      </c>
      <c r="B468" s="3" t="s">
        <v>33</v>
      </c>
      <c r="C468" s="3" t="s">
        <v>673</v>
      </c>
      <c r="D468" s="3" t="s">
        <v>1377</v>
      </c>
      <c r="E468" s="3" t="s">
        <v>32</v>
      </c>
      <c r="F468" s="1">
        <v>43822</v>
      </c>
      <c r="G468">
        <v>6</v>
      </c>
      <c r="H468" s="3" t="s">
        <v>912</v>
      </c>
      <c r="I468" s="3" t="s">
        <v>88</v>
      </c>
      <c r="J468" s="3" t="s">
        <v>18</v>
      </c>
      <c r="K468" s="3" t="s">
        <v>36</v>
      </c>
      <c r="L468">
        <v>1168</v>
      </c>
      <c r="M468" s="3" t="s">
        <v>909</v>
      </c>
      <c r="N468">
        <v>14016</v>
      </c>
      <c r="O468">
        <v>2336</v>
      </c>
      <c r="P468">
        <v>5</v>
      </c>
      <c r="Q468" s="3" t="s">
        <v>913</v>
      </c>
      <c r="R468">
        <v>0</v>
      </c>
      <c r="S468">
        <v>0</v>
      </c>
      <c r="T468" s="3" t="s">
        <v>916</v>
      </c>
      <c r="U468">
        <v>8</v>
      </c>
      <c r="V468" s="3" t="s">
        <v>917</v>
      </c>
    </row>
    <row r="469" spans="1:22" x14ac:dyDescent="0.3">
      <c r="A469">
        <v>468</v>
      </c>
      <c r="B469" s="3" t="s">
        <v>674</v>
      </c>
      <c r="C469" s="3" t="s">
        <v>675</v>
      </c>
      <c r="D469" s="3" t="s">
        <v>1378</v>
      </c>
      <c r="E469" s="3" t="s">
        <v>32</v>
      </c>
      <c r="F469" s="1">
        <v>43194</v>
      </c>
      <c r="G469">
        <v>8</v>
      </c>
      <c r="H469" s="3" t="s">
        <v>907</v>
      </c>
      <c r="I469" s="3" t="s">
        <v>93</v>
      </c>
      <c r="J469" s="3" t="s">
        <v>18</v>
      </c>
      <c r="K469" s="3" t="s">
        <v>42</v>
      </c>
      <c r="L469">
        <v>2169</v>
      </c>
      <c r="M469" s="3" t="s">
        <v>908</v>
      </c>
      <c r="N469">
        <v>26028</v>
      </c>
      <c r="O469">
        <v>3253.5</v>
      </c>
      <c r="P469">
        <v>1</v>
      </c>
      <c r="Q469" s="3" t="s">
        <v>909</v>
      </c>
      <c r="R469">
        <v>4</v>
      </c>
      <c r="S469">
        <v>0</v>
      </c>
      <c r="T469" s="3" t="s">
        <v>908</v>
      </c>
      <c r="U469">
        <v>2</v>
      </c>
      <c r="V469" s="3" t="s">
        <v>917</v>
      </c>
    </row>
    <row r="470" spans="1:22" x14ac:dyDescent="0.3">
      <c r="A470">
        <v>469</v>
      </c>
      <c r="B470" s="3" t="s">
        <v>33</v>
      </c>
      <c r="C470" s="3" t="s">
        <v>388</v>
      </c>
      <c r="D470" s="3" t="s">
        <v>1379</v>
      </c>
      <c r="E470" s="3" t="s">
        <v>32</v>
      </c>
      <c r="F470" s="1">
        <v>43900</v>
      </c>
      <c r="G470">
        <v>6</v>
      </c>
      <c r="H470" s="3" t="s">
        <v>912</v>
      </c>
      <c r="I470" s="3" t="s">
        <v>200</v>
      </c>
      <c r="J470" s="3" t="s">
        <v>294</v>
      </c>
      <c r="K470" s="3" t="s">
        <v>42</v>
      </c>
      <c r="L470">
        <v>2819</v>
      </c>
      <c r="M470" s="3" t="s">
        <v>913</v>
      </c>
      <c r="N470">
        <v>33828</v>
      </c>
      <c r="O470">
        <v>5638</v>
      </c>
      <c r="P470">
        <v>4.5</v>
      </c>
      <c r="Q470" s="3" t="s">
        <v>913</v>
      </c>
      <c r="R470">
        <v>5</v>
      </c>
      <c r="S470">
        <v>0</v>
      </c>
      <c r="T470" s="3" t="s">
        <v>908</v>
      </c>
      <c r="U470">
        <v>51</v>
      </c>
      <c r="V470" s="3" t="s">
        <v>910</v>
      </c>
    </row>
    <row r="471" spans="1:22" x14ac:dyDescent="0.3">
      <c r="A471">
        <v>470</v>
      </c>
      <c r="B471" s="3" t="s">
        <v>30</v>
      </c>
      <c r="C471" s="3" t="s">
        <v>676</v>
      </c>
      <c r="D471" s="3" t="s">
        <v>1380</v>
      </c>
      <c r="E471" s="3" t="s">
        <v>32</v>
      </c>
      <c r="F471" s="1">
        <v>43403</v>
      </c>
      <c r="G471">
        <v>7</v>
      </c>
      <c r="H471" s="3" t="s">
        <v>907</v>
      </c>
      <c r="I471" s="3" t="s">
        <v>50</v>
      </c>
      <c r="J471" s="3" t="s">
        <v>29</v>
      </c>
      <c r="K471" s="3" t="s">
        <v>36</v>
      </c>
      <c r="L471">
        <v>847</v>
      </c>
      <c r="M471" s="3" t="s">
        <v>909</v>
      </c>
      <c r="N471">
        <v>10164</v>
      </c>
      <c r="O471">
        <v>1452</v>
      </c>
      <c r="P471">
        <v>3</v>
      </c>
      <c r="Q471" s="3" t="s">
        <v>908</v>
      </c>
      <c r="R471">
        <v>0</v>
      </c>
      <c r="S471">
        <v>0</v>
      </c>
      <c r="T471" s="3" t="s">
        <v>916</v>
      </c>
      <c r="U471">
        <v>3</v>
      </c>
      <c r="V471" s="3" t="s">
        <v>917</v>
      </c>
    </row>
    <row r="472" spans="1:22" x14ac:dyDescent="0.3">
      <c r="A472">
        <v>471</v>
      </c>
      <c r="B472" s="3" t="s">
        <v>33</v>
      </c>
      <c r="C472" s="3" t="s">
        <v>546</v>
      </c>
      <c r="D472" s="3" t="s">
        <v>1381</v>
      </c>
      <c r="E472" s="3" t="s">
        <v>32</v>
      </c>
      <c r="F472" s="1">
        <v>43900</v>
      </c>
      <c r="G472">
        <v>6</v>
      </c>
      <c r="H472" s="3" t="s">
        <v>912</v>
      </c>
      <c r="I472" s="3" t="s">
        <v>41</v>
      </c>
      <c r="J472" s="3" t="s">
        <v>18</v>
      </c>
      <c r="K472" s="3" t="s">
        <v>19</v>
      </c>
      <c r="L472">
        <v>2308</v>
      </c>
      <c r="M472" s="3" t="s">
        <v>908</v>
      </c>
      <c r="N472">
        <v>27696</v>
      </c>
      <c r="O472">
        <v>4616</v>
      </c>
      <c r="P472">
        <v>2</v>
      </c>
      <c r="Q472" s="3" t="s">
        <v>909</v>
      </c>
      <c r="R472">
        <v>0</v>
      </c>
      <c r="S472">
        <v>0</v>
      </c>
      <c r="T472" s="3" t="s">
        <v>916</v>
      </c>
      <c r="U472">
        <v>13</v>
      </c>
      <c r="V472" s="3" t="s">
        <v>910</v>
      </c>
    </row>
    <row r="473" spans="1:22" x14ac:dyDescent="0.3">
      <c r="A473">
        <v>472</v>
      </c>
      <c r="B473" s="3" t="s">
        <v>84</v>
      </c>
      <c r="C473" s="3" t="s">
        <v>677</v>
      </c>
      <c r="D473" s="3" t="s">
        <v>1382</v>
      </c>
      <c r="E473" s="3" t="s">
        <v>307</v>
      </c>
      <c r="F473" s="1">
        <v>43435</v>
      </c>
      <c r="G473">
        <v>7</v>
      </c>
      <c r="H473" s="3" t="s">
        <v>907</v>
      </c>
      <c r="I473" s="3" t="s">
        <v>28</v>
      </c>
      <c r="J473" s="3" t="s">
        <v>18</v>
      </c>
      <c r="K473" s="3" t="s">
        <v>898</v>
      </c>
      <c r="L473">
        <v>1692</v>
      </c>
      <c r="M473" s="3" t="s">
        <v>908</v>
      </c>
      <c r="N473">
        <v>20304</v>
      </c>
      <c r="O473">
        <v>2900.5714285714284</v>
      </c>
      <c r="P473">
        <v>4.5</v>
      </c>
      <c r="Q473" s="3" t="s">
        <v>913</v>
      </c>
      <c r="R473">
        <v>4</v>
      </c>
      <c r="S473">
        <v>0</v>
      </c>
      <c r="T473" s="3" t="s">
        <v>908</v>
      </c>
      <c r="U473">
        <v>6</v>
      </c>
      <c r="V473" s="3" t="s">
        <v>917</v>
      </c>
    </row>
    <row r="474" spans="1:22" x14ac:dyDescent="0.3">
      <c r="A474">
        <v>473</v>
      </c>
      <c r="B474" s="3" t="s">
        <v>678</v>
      </c>
      <c r="C474" s="3" t="s">
        <v>159</v>
      </c>
      <c r="D474" s="3" t="s">
        <v>1383</v>
      </c>
      <c r="E474" s="3" t="s">
        <v>32</v>
      </c>
      <c r="F474" s="1">
        <v>43159</v>
      </c>
      <c r="G474">
        <v>8</v>
      </c>
      <c r="H474" s="3" t="s">
        <v>907</v>
      </c>
      <c r="I474" s="3" t="s">
        <v>77</v>
      </c>
      <c r="J474" s="3" t="s">
        <v>18</v>
      </c>
      <c r="K474" s="3" t="s">
        <v>42</v>
      </c>
      <c r="L474">
        <v>1372</v>
      </c>
      <c r="M474" s="3" t="s">
        <v>909</v>
      </c>
      <c r="N474">
        <v>16464</v>
      </c>
      <c r="O474">
        <v>2058</v>
      </c>
      <c r="P474">
        <v>1</v>
      </c>
      <c r="Q474" s="3" t="s">
        <v>909</v>
      </c>
      <c r="R474">
        <v>0</v>
      </c>
      <c r="S474">
        <v>0</v>
      </c>
      <c r="T474" s="3" t="s">
        <v>916</v>
      </c>
      <c r="U474">
        <v>4</v>
      </c>
      <c r="V474" s="3" t="s">
        <v>917</v>
      </c>
    </row>
    <row r="475" spans="1:22" x14ac:dyDescent="0.3">
      <c r="A475">
        <v>474</v>
      </c>
      <c r="B475" s="3" t="s">
        <v>413</v>
      </c>
      <c r="C475" s="3" t="s">
        <v>679</v>
      </c>
      <c r="D475" s="3" t="s">
        <v>1384</v>
      </c>
      <c r="E475" s="3" t="s">
        <v>307</v>
      </c>
      <c r="F475" s="1">
        <v>43617</v>
      </c>
      <c r="G475">
        <v>7</v>
      </c>
      <c r="H475" s="3" t="s">
        <v>907</v>
      </c>
      <c r="I475" s="3" t="s">
        <v>41</v>
      </c>
      <c r="J475" s="3" t="s">
        <v>18</v>
      </c>
      <c r="K475" s="3" t="s">
        <v>898</v>
      </c>
      <c r="L475">
        <v>2594</v>
      </c>
      <c r="M475" s="3" t="s">
        <v>913</v>
      </c>
      <c r="N475">
        <v>31128</v>
      </c>
      <c r="O475">
        <v>4446.8571428571431</v>
      </c>
      <c r="P475">
        <v>3</v>
      </c>
      <c r="Q475" s="3" t="s">
        <v>908</v>
      </c>
      <c r="R475">
        <v>5</v>
      </c>
      <c r="S475">
        <v>0</v>
      </c>
      <c r="T475" s="3" t="s">
        <v>908</v>
      </c>
      <c r="U475">
        <v>0</v>
      </c>
      <c r="V475" s="3" t="s">
        <v>955</v>
      </c>
    </row>
    <row r="476" spans="1:22" x14ac:dyDescent="0.3">
      <c r="A476">
        <v>475</v>
      </c>
      <c r="B476" s="3" t="s">
        <v>460</v>
      </c>
      <c r="C476" s="3" t="s">
        <v>680</v>
      </c>
      <c r="D476" s="3" t="s">
        <v>1385</v>
      </c>
      <c r="E476" s="3" t="s">
        <v>32</v>
      </c>
      <c r="F476" s="1">
        <v>43237</v>
      </c>
      <c r="G476">
        <v>8</v>
      </c>
      <c r="H476" s="3" t="s">
        <v>907</v>
      </c>
      <c r="I476" s="3" t="s">
        <v>17</v>
      </c>
      <c r="J476" s="3" t="s">
        <v>18</v>
      </c>
      <c r="K476" s="3" t="s">
        <v>36</v>
      </c>
      <c r="L476">
        <v>1082</v>
      </c>
      <c r="M476" s="3" t="s">
        <v>909</v>
      </c>
      <c r="N476">
        <v>12984</v>
      </c>
      <c r="O476">
        <v>1623</v>
      </c>
      <c r="P476">
        <v>5</v>
      </c>
      <c r="Q476" s="3" t="s">
        <v>913</v>
      </c>
      <c r="R476">
        <v>1</v>
      </c>
      <c r="S476">
        <v>4</v>
      </c>
      <c r="T476" s="3" t="s">
        <v>908</v>
      </c>
      <c r="U476">
        <v>8</v>
      </c>
      <c r="V476" s="3" t="s">
        <v>917</v>
      </c>
    </row>
    <row r="477" spans="1:22" x14ac:dyDescent="0.3">
      <c r="A477">
        <v>476</v>
      </c>
      <c r="B477" s="3" t="s">
        <v>33</v>
      </c>
      <c r="C477" s="3" t="s">
        <v>308</v>
      </c>
      <c r="D477" s="3" t="s">
        <v>1386</v>
      </c>
      <c r="E477" s="3" t="s">
        <v>32</v>
      </c>
      <c r="F477" s="1">
        <v>43413</v>
      </c>
      <c r="G477">
        <v>7</v>
      </c>
      <c r="H477" s="3" t="s">
        <v>907</v>
      </c>
      <c r="I477" s="3" t="s">
        <v>28</v>
      </c>
      <c r="J477" s="3" t="s">
        <v>18</v>
      </c>
      <c r="K477" s="3" t="s">
        <v>19</v>
      </c>
      <c r="L477">
        <v>1929</v>
      </c>
      <c r="M477" s="3" t="s">
        <v>908</v>
      </c>
      <c r="N477">
        <v>23148</v>
      </c>
      <c r="O477">
        <v>3306.8571428571427</v>
      </c>
      <c r="P477">
        <v>5</v>
      </c>
      <c r="Q477" s="3" t="s">
        <v>913</v>
      </c>
      <c r="R477">
        <v>3</v>
      </c>
      <c r="S477">
        <v>0</v>
      </c>
      <c r="T477" s="3" t="s">
        <v>909</v>
      </c>
      <c r="U477">
        <v>43</v>
      </c>
      <c r="V477" s="3" t="s">
        <v>910</v>
      </c>
    </row>
    <row r="478" spans="1:22" x14ac:dyDescent="0.3">
      <c r="A478">
        <v>477</v>
      </c>
      <c r="B478" s="3" t="s">
        <v>681</v>
      </c>
      <c r="C478" s="3" t="s">
        <v>80</v>
      </c>
      <c r="D478" s="3" t="s">
        <v>1387</v>
      </c>
      <c r="E478" s="3" t="s">
        <v>32</v>
      </c>
      <c r="F478" s="1">
        <v>43720</v>
      </c>
      <c r="G478">
        <v>6</v>
      </c>
      <c r="H478" s="3" t="s">
        <v>912</v>
      </c>
      <c r="I478" s="3" t="s">
        <v>28</v>
      </c>
      <c r="J478" s="3" t="s">
        <v>22</v>
      </c>
      <c r="K478" s="3" t="s">
        <v>42</v>
      </c>
      <c r="L478">
        <v>1883</v>
      </c>
      <c r="M478" s="3" t="s">
        <v>908</v>
      </c>
      <c r="N478">
        <v>22596</v>
      </c>
      <c r="O478">
        <v>3766</v>
      </c>
      <c r="P478">
        <v>3</v>
      </c>
      <c r="Q478" s="3" t="s">
        <v>908</v>
      </c>
      <c r="R478">
        <v>3</v>
      </c>
      <c r="S478">
        <v>0</v>
      </c>
      <c r="T478" s="3" t="s">
        <v>909</v>
      </c>
      <c r="U478">
        <v>3</v>
      </c>
      <c r="V478" s="3" t="s">
        <v>917</v>
      </c>
    </row>
    <row r="479" spans="1:22" x14ac:dyDescent="0.3">
      <c r="A479">
        <v>478</v>
      </c>
      <c r="B479" s="3" t="s">
        <v>388</v>
      </c>
      <c r="C479" s="3" t="s">
        <v>512</v>
      </c>
      <c r="D479" s="3" t="s">
        <v>1388</v>
      </c>
      <c r="E479" s="3" t="s">
        <v>32</v>
      </c>
      <c r="F479" s="1">
        <v>43594</v>
      </c>
      <c r="G479">
        <v>7</v>
      </c>
      <c r="H479" s="3" t="s">
        <v>907</v>
      </c>
      <c r="I479" s="3" t="s">
        <v>41</v>
      </c>
      <c r="J479" s="3" t="s">
        <v>29</v>
      </c>
      <c r="K479" s="3" t="s">
        <v>19</v>
      </c>
      <c r="L479">
        <v>874</v>
      </c>
      <c r="M479" s="3" t="s">
        <v>909</v>
      </c>
      <c r="N479">
        <v>10488</v>
      </c>
      <c r="O479">
        <v>1498.2857142857142</v>
      </c>
      <c r="P479">
        <v>3</v>
      </c>
      <c r="Q479" s="3" t="s">
        <v>908</v>
      </c>
      <c r="R479">
        <v>0</v>
      </c>
      <c r="S479">
        <v>0</v>
      </c>
      <c r="T479" s="3" t="s">
        <v>916</v>
      </c>
      <c r="U479">
        <v>7</v>
      </c>
      <c r="V479" s="3" t="s">
        <v>917</v>
      </c>
    </row>
    <row r="480" spans="1:22" x14ac:dyDescent="0.3">
      <c r="A480">
        <v>479</v>
      </c>
      <c r="B480" s="3" t="s">
        <v>165</v>
      </c>
      <c r="C480" s="3" t="s">
        <v>682</v>
      </c>
      <c r="D480" s="3" t="s">
        <v>1389</v>
      </c>
      <c r="E480" s="3" t="s">
        <v>32</v>
      </c>
      <c r="F480" s="1">
        <v>42603</v>
      </c>
      <c r="G480">
        <v>10</v>
      </c>
      <c r="H480" s="3" t="s">
        <v>920</v>
      </c>
      <c r="I480" s="3" t="s">
        <v>17</v>
      </c>
      <c r="J480" s="3" t="s">
        <v>22</v>
      </c>
      <c r="K480" s="3" t="s">
        <v>19</v>
      </c>
      <c r="L480">
        <v>2780</v>
      </c>
      <c r="M480" s="3" t="s">
        <v>913</v>
      </c>
      <c r="N480">
        <v>33360</v>
      </c>
      <c r="O480">
        <v>3336</v>
      </c>
      <c r="P480">
        <v>3</v>
      </c>
      <c r="Q480" s="3" t="s">
        <v>908</v>
      </c>
      <c r="R480">
        <v>3</v>
      </c>
      <c r="S480">
        <v>0</v>
      </c>
      <c r="T480" s="3" t="s">
        <v>909</v>
      </c>
      <c r="U480">
        <v>2</v>
      </c>
      <c r="V480" s="3" t="s">
        <v>917</v>
      </c>
    </row>
    <row r="481" spans="1:22" x14ac:dyDescent="0.3">
      <c r="A481">
        <v>480</v>
      </c>
      <c r="B481" s="3" t="s">
        <v>207</v>
      </c>
      <c r="C481" s="3" t="s">
        <v>130</v>
      </c>
      <c r="D481" s="3" t="s">
        <v>1390</v>
      </c>
      <c r="E481" s="3" t="s">
        <v>32</v>
      </c>
      <c r="F481" s="1">
        <v>43832</v>
      </c>
      <c r="G481">
        <v>6</v>
      </c>
      <c r="H481" s="3" t="s">
        <v>912</v>
      </c>
      <c r="I481" s="3" t="s">
        <v>50</v>
      </c>
      <c r="J481" s="3" t="s">
        <v>48</v>
      </c>
      <c r="K481" s="3" t="s">
        <v>60</v>
      </c>
      <c r="L481">
        <v>1980</v>
      </c>
      <c r="M481" s="3" t="s">
        <v>908</v>
      </c>
      <c r="N481">
        <v>23760</v>
      </c>
      <c r="O481">
        <v>3960</v>
      </c>
      <c r="P481">
        <v>2</v>
      </c>
      <c r="Q481" s="3" t="s">
        <v>909</v>
      </c>
      <c r="R481">
        <v>3</v>
      </c>
      <c r="S481">
        <v>0</v>
      </c>
      <c r="T481" s="3" t="s">
        <v>909</v>
      </c>
      <c r="U481">
        <v>0</v>
      </c>
      <c r="V481" s="3" t="s">
        <v>955</v>
      </c>
    </row>
    <row r="482" spans="1:22" x14ac:dyDescent="0.3">
      <c r="A482">
        <v>481</v>
      </c>
      <c r="B482" s="3" t="s">
        <v>71</v>
      </c>
      <c r="C482" s="3" t="s">
        <v>683</v>
      </c>
      <c r="D482" s="3" t="s">
        <v>1391</v>
      </c>
      <c r="E482" s="3" t="s">
        <v>32</v>
      </c>
      <c r="F482" s="1">
        <v>43832</v>
      </c>
      <c r="G482">
        <v>6</v>
      </c>
      <c r="H482" s="3" t="s">
        <v>912</v>
      </c>
      <c r="I482" s="3" t="s">
        <v>25</v>
      </c>
      <c r="J482" s="3" t="s">
        <v>48</v>
      </c>
      <c r="K482" s="3" t="s">
        <v>42</v>
      </c>
      <c r="L482">
        <v>2611</v>
      </c>
      <c r="M482" s="3" t="s">
        <v>913</v>
      </c>
      <c r="N482">
        <v>31332</v>
      </c>
      <c r="O482">
        <v>5222</v>
      </c>
      <c r="P482">
        <v>5</v>
      </c>
      <c r="Q482" s="3" t="s">
        <v>913</v>
      </c>
      <c r="R482">
        <v>4</v>
      </c>
      <c r="S482">
        <v>0</v>
      </c>
      <c r="T482" s="3" t="s">
        <v>908</v>
      </c>
      <c r="U482">
        <v>9</v>
      </c>
      <c r="V482" s="3" t="s">
        <v>917</v>
      </c>
    </row>
    <row r="483" spans="1:22" x14ac:dyDescent="0.3">
      <c r="A483">
        <v>482</v>
      </c>
      <c r="B483" s="3" t="s">
        <v>684</v>
      </c>
      <c r="C483" s="3" t="s">
        <v>685</v>
      </c>
      <c r="D483" s="3" t="s">
        <v>1392</v>
      </c>
      <c r="E483" s="3" t="s">
        <v>32</v>
      </c>
      <c r="F483" s="1">
        <v>43141</v>
      </c>
      <c r="G483">
        <v>8</v>
      </c>
      <c r="H483" s="3" t="s">
        <v>907</v>
      </c>
      <c r="I483" s="3" t="s">
        <v>200</v>
      </c>
      <c r="J483" s="3" t="s">
        <v>48</v>
      </c>
      <c r="K483" s="3" t="s">
        <v>898</v>
      </c>
      <c r="L483">
        <v>1881</v>
      </c>
      <c r="M483" s="3" t="s">
        <v>908</v>
      </c>
      <c r="N483">
        <v>22572</v>
      </c>
      <c r="O483">
        <v>2821.5</v>
      </c>
      <c r="P483">
        <v>5</v>
      </c>
      <c r="Q483" s="3" t="s">
        <v>913</v>
      </c>
      <c r="R483">
        <v>1</v>
      </c>
      <c r="S483">
        <v>0</v>
      </c>
      <c r="T483" s="3" t="s">
        <v>909</v>
      </c>
      <c r="U483">
        <v>1</v>
      </c>
      <c r="V483" s="3" t="s">
        <v>917</v>
      </c>
    </row>
    <row r="484" spans="1:22" x14ac:dyDescent="0.3">
      <c r="A484">
        <v>483</v>
      </c>
      <c r="B484" s="3" t="s">
        <v>686</v>
      </c>
      <c r="C484" s="3" t="s">
        <v>687</v>
      </c>
      <c r="D484" s="3" t="s">
        <v>1393</v>
      </c>
      <c r="E484" s="3" t="s">
        <v>32</v>
      </c>
      <c r="F484" s="1">
        <v>42530</v>
      </c>
      <c r="G484">
        <v>10</v>
      </c>
      <c r="H484" s="3" t="s">
        <v>920</v>
      </c>
      <c r="I484" s="3" t="s">
        <v>28</v>
      </c>
      <c r="J484" s="3" t="s">
        <v>18</v>
      </c>
      <c r="K484" s="3" t="s">
        <v>19</v>
      </c>
      <c r="L484">
        <v>1517</v>
      </c>
      <c r="M484" s="3" t="s">
        <v>908</v>
      </c>
      <c r="N484">
        <v>18204</v>
      </c>
      <c r="O484">
        <v>1820.4</v>
      </c>
      <c r="P484">
        <v>5</v>
      </c>
      <c r="Q484" s="3" t="s">
        <v>913</v>
      </c>
      <c r="R484">
        <v>4</v>
      </c>
      <c r="S484">
        <v>0</v>
      </c>
      <c r="T484" s="3" t="s">
        <v>908</v>
      </c>
      <c r="U484">
        <v>6</v>
      </c>
      <c r="V484" s="3" t="s">
        <v>917</v>
      </c>
    </row>
    <row r="485" spans="1:22" x14ac:dyDescent="0.3">
      <c r="A485">
        <v>484</v>
      </c>
      <c r="B485" s="3" t="s">
        <v>186</v>
      </c>
      <c r="C485" s="3" t="s">
        <v>33</v>
      </c>
      <c r="D485" s="3" t="s">
        <v>1141</v>
      </c>
      <c r="E485" s="3" t="s">
        <v>32</v>
      </c>
      <c r="F485" s="1">
        <v>43825</v>
      </c>
      <c r="G485">
        <v>6</v>
      </c>
      <c r="H485" s="3" t="s">
        <v>912</v>
      </c>
      <c r="I485" s="3" t="s">
        <v>35</v>
      </c>
      <c r="J485" s="3" t="s">
        <v>18</v>
      </c>
      <c r="K485" s="3" t="s">
        <v>19</v>
      </c>
      <c r="L485">
        <v>1459</v>
      </c>
      <c r="M485" s="3" t="s">
        <v>909</v>
      </c>
      <c r="N485">
        <v>17508</v>
      </c>
      <c r="O485">
        <v>2918</v>
      </c>
      <c r="P485">
        <v>4.5</v>
      </c>
      <c r="Q485" s="3" t="s">
        <v>913</v>
      </c>
      <c r="R485">
        <v>0</v>
      </c>
      <c r="S485">
        <v>0</v>
      </c>
      <c r="T485" s="3" t="s">
        <v>916</v>
      </c>
      <c r="U485">
        <v>10</v>
      </c>
      <c r="V485" s="3" t="s">
        <v>917</v>
      </c>
    </row>
    <row r="486" spans="1:22" x14ac:dyDescent="0.3">
      <c r="A486">
        <v>485</v>
      </c>
      <c r="B486" s="3" t="s">
        <v>219</v>
      </c>
      <c r="C486" s="3" t="s">
        <v>688</v>
      </c>
      <c r="D486" s="3" t="s">
        <v>1394</v>
      </c>
      <c r="E486" s="3" t="s">
        <v>32</v>
      </c>
      <c r="F486" s="1">
        <v>43761</v>
      </c>
      <c r="G486">
        <v>6</v>
      </c>
      <c r="H486" s="3" t="s">
        <v>912</v>
      </c>
      <c r="I486" s="3" t="s">
        <v>88</v>
      </c>
      <c r="J486" s="3" t="s">
        <v>22</v>
      </c>
      <c r="K486" s="3" t="s">
        <v>42</v>
      </c>
      <c r="L486">
        <v>2383</v>
      </c>
      <c r="M486" s="3" t="s">
        <v>908</v>
      </c>
      <c r="N486">
        <v>28596</v>
      </c>
      <c r="O486">
        <v>4766</v>
      </c>
      <c r="P486">
        <v>3</v>
      </c>
      <c r="Q486" s="3" t="s">
        <v>908</v>
      </c>
      <c r="R486">
        <v>0</v>
      </c>
      <c r="S486">
        <v>0</v>
      </c>
      <c r="T486" s="3" t="s">
        <v>916</v>
      </c>
      <c r="U486">
        <v>0</v>
      </c>
      <c r="V486" s="3" t="s">
        <v>955</v>
      </c>
    </row>
    <row r="487" spans="1:22" x14ac:dyDescent="0.3">
      <c r="A487">
        <v>486</v>
      </c>
      <c r="B487" s="3" t="s">
        <v>49</v>
      </c>
      <c r="C487" s="3" t="s">
        <v>461</v>
      </c>
      <c r="D487" s="3" t="s">
        <v>1395</v>
      </c>
      <c r="E487" s="3" t="s">
        <v>32</v>
      </c>
      <c r="F487" s="1">
        <v>43168</v>
      </c>
      <c r="G487">
        <v>8</v>
      </c>
      <c r="H487" s="3" t="s">
        <v>907</v>
      </c>
      <c r="I487" s="3" t="s">
        <v>77</v>
      </c>
      <c r="J487" s="3" t="s">
        <v>18</v>
      </c>
      <c r="K487" s="3" t="s">
        <v>60</v>
      </c>
      <c r="L487">
        <v>1420</v>
      </c>
      <c r="M487" s="3" t="s">
        <v>909</v>
      </c>
      <c r="N487">
        <v>17040</v>
      </c>
      <c r="O487">
        <v>2130</v>
      </c>
      <c r="P487">
        <v>5</v>
      </c>
      <c r="Q487" s="3" t="s">
        <v>913</v>
      </c>
      <c r="R487">
        <v>2</v>
      </c>
      <c r="S487">
        <v>6</v>
      </c>
      <c r="T487" s="3" t="s">
        <v>913</v>
      </c>
      <c r="U487">
        <v>7</v>
      </c>
      <c r="V487" s="3" t="s">
        <v>917</v>
      </c>
    </row>
    <row r="488" spans="1:22" x14ac:dyDescent="0.3">
      <c r="A488">
        <v>487</v>
      </c>
      <c r="B488" s="3" t="s">
        <v>357</v>
      </c>
      <c r="C488" s="3" t="s">
        <v>689</v>
      </c>
      <c r="D488" s="3" t="s">
        <v>1396</v>
      </c>
      <c r="E488" s="3" t="s">
        <v>32</v>
      </c>
      <c r="F488" s="1">
        <v>43358</v>
      </c>
      <c r="G488">
        <v>7</v>
      </c>
      <c r="H488" s="3" t="s">
        <v>907</v>
      </c>
      <c r="I488" s="3" t="s">
        <v>25</v>
      </c>
      <c r="J488" s="3" t="s">
        <v>18</v>
      </c>
      <c r="K488" s="3" t="s">
        <v>36</v>
      </c>
      <c r="L488">
        <v>1382</v>
      </c>
      <c r="M488" s="3" t="s">
        <v>909</v>
      </c>
      <c r="N488">
        <v>16584</v>
      </c>
      <c r="O488">
        <v>2369.1428571428573</v>
      </c>
      <c r="P488">
        <v>4.5</v>
      </c>
      <c r="Q488" s="3" t="s">
        <v>913</v>
      </c>
      <c r="R488">
        <v>0</v>
      </c>
      <c r="S488">
        <v>1</v>
      </c>
      <c r="T488" s="3" t="s">
        <v>909</v>
      </c>
      <c r="U488">
        <v>14</v>
      </c>
      <c r="V488" s="3" t="s">
        <v>910</v>
      </c>
    </row>
    <row r="489" spans="1:22" x14ac:dyDescent="0.3">
      <c r="A489">
        <v>488</v>
      </c>
      <c r="B489" s="3" t="s">
        <v>30</v>
      </c>
      <c r="C489" s="3" t="s">
        <v>690</v>
      </c>
      <c r="D489" s="3" t="s">
        <v>1397</v>
      </c>
      <c r="E489" s="3" t="s">
        <v>32</v>
      </c>
      <c r="F489" s="1">
        <v>44097</v>
      </c>
      <c r="G489">
        <v>5</v>
      </c>
      <c r="H489" s="3" t="s">
        <v>912</v>
      </c>
      <c r="I489" s="3" t="s">
        <v>50</v>
      </c>
      <c r="J489" s="3" t="s">
        <v>29</v>
      </c>
      <c r="K489" s="3" t="s">
        <v>19</v>
      </c>
      <c r="L489">
        <v>1920</v>
      </c>
      <c r="M489" s="3" t="s">
        <v>908</v>
      </c>
      <c r="N489">
        <v>23040</v>
      </c>
      <c r="O489">
        <v>4608</v>
      </c>
      <c r="P489">
        <v>5</v>
      </c>
      <c r="Q489" s="3" t="s">
        <v>913</v>
      </c>
      <c r="R489">
        <v>0</v>
      </c>
      <c r="S489">
        <v>5</v>
      </c>
      <c r="T489" s="3" t="s">
        <v>908</v>
      </c>
      <c r="U489">
        <v>1</v>
      </c>
      <c r="V489" s="3" t="s">
        <v>917</v>
      </c>
    </row>
    <row r="490" spans="1:22" x14ac:dyDescent="0.3">
      <c r="A490">
        <v>489</v>
      </c>
      <c r="B490" s="3" t="s">
        <v>30</v>
      </c>
      <c r="C490" s="3" t="s">
        <v>691</v>
      </c>
      <c r="D490" s="3" t="s">
        <v>1398</v>
      </c>
      <c r="E490" s="3" t="s">
        <v>32</v>
      </c>
      <c r="F490" s="1">
        <v>44091</v>
      </c>
      <c r="G490">
        <v>5</v>
      </c>
      <c r="H490" s="3" t="s">
        <v>912</v>
      </c>
      <c r="I490" s="3" t="s">
        <v>77</v>
      </c>
      <c r="J490" s="3" t="s">
        <v>18</v>
      </c>
      <c r="K490" s="3" t="s">
        <v>36</v>
      </c>
      <c r="L490">
        <v>1202</v>
      </c>
      <c r="M490" s="3" t="s">
        <v>909</v>
      </c>
      <c r="N490">
        <v>14424</v>
      </c>
      <c r="O490">
        <v>2884.8</v>
      </c>
      <c r="P490">
        <v>4.5</v>
      </c>
      <c r="Q490" s="3" t="s">
        <v>913</v>
      </c>
      <c r="R490">
        <v>0</v>
      </c>
      <c r="S490">
        <v>0</v>
      </c>
      <c r="T490" s="3" t="s">
        <v>916</v>
      </c>
      <c r="U490">
        <v>92</v>
      </c>
      <c r="V490" s="3" t="s">
        <v>910</v>
      </c>
    </row>
    <row r="491" spans="1:22" x14ac:dyDescent="0.3">
      <c r="A491">
        <v>490</v>
      </c>
      <c r="B491" s="3" t="s">
        <v>692</v>
      </c>
      <c r="C491" s="3" t="s">
        <v>693</v>
      </c>
      <c r="D491" s="3" t="s">
        <v>1399</v>
      </c>
      <c r="E491" s="3" t="s">
        <v>307</v>
      </c>
      <c r="F491" s="1">
        <v>43156</v>
      </c>
      <c r="G491">
        <v>8</v>
      </c>
      <c r="H491" s="3" t="s">
        <v>907</v>
      </c>
      <c r="I491" s="3" t="s">
        <v>58</v>
      </c>
      <c r="J491" s="3" t="s">
        <v>22</v>
      </c>
      <c r="K491" s="3" t="s">
        <v>19</v>
      </c>
      <c r="L491">
        <v>1158</v>
      </c>
      <c r="M491" s="3" t="s">
        <v>909</v>
      </c>
      <c r="N491">
        <v>13896</v>
      </c>
      <c r="O491">
        <v>1737</v>
      </c>
      <c r="P491">
        <v>5</v>
      </c>
      <c r="Q491" s="3" t="s">
        <v>913</v>
      </c>
      <c r="R491">
        <v>0</v>
      </c>
      <c r="S491">
        <v>0</v>
      </c>
      <c r="T491" s="3" t="s">
        <v>916</v>
      </c>
      <c r="U491">
        <v>7</v>
      </c>
      <c r="V491" s="3" t="s">
        <v>917</v>
      </c>
    </row>
    <row r="492" spans="1:22" x14ac:dyDescent="0.3">
      <c r="A492">
        <v>491</v>
      </c>
      <c r="B492" s="3" t="s">
        <v>327</v>
      </c>
      <c r="C492" s="3" t="s">
        <v>694</v>
      </c>
      <c r="D492" s="3" t="s">
        <v>1400</v>
      </c>
      <c r="E492" s="3" t="s">
        <v>32</v>
      </c>
      <c r="F492" s="1">
        <v>43850</v>
      </c>
      <c r="G492">
        <v>6</v>
      </c>
      <c r="H492" s="3" t="s">
        <v>912</v>
      </c>
      <c r="I492" s="3" t="s">
        <v>17</v>
      </c>
      <c r="J492" s="3" t="s">
        <v>18</v>
      </c>
      <c r="K492" s="3" t="s">
        <v>36</v>
      </c>
      <c r="L492">
        <v>1447</v>
      </c>
      <c r="M492" s="3" t="s">
        <v>909</v>
      </c>
      <c r="N492">
        <v>17364</v>
      </c>
      <c r="O492">
        <v>2894</v>
      </c>
      <c r="P492">
        <v>3</v>
      </c>
      <c r="Q492" s="3" t="s">
        <v>908</v>
      </c>
      <c r="R492">
        <v>0</v>
      </c>
      <c r="S492">
        <v>0</v>
      </c>
      <c r="T492" s="3" t="s">
        <v>916</v>
      </c>
      <c r="U492">
        <v>7</v>
      </c>
      <c r="V492" s="3" t="s">
        <v>917</v>
      </c>
    </row>
    <row r="493" spans="1:22" x14ac:dyDescent="0.3">
      <c r="A493">
        <v>492</v>
      </c>
      <c r="B493" s="3" t="s">
        <v>223</v>
      </c>
      <c r="C493" s="3" t="s">
        <v>695</v>
      </c>
      <c r="D493" s="3" t="s">
        <v>1401</v>
      </c>
      <c r="E493" s="3" t="s">
        <v>32</v>
      </c>
      <c r="F493" s="1">
        <v>43731</v>
      </c>
      <c r="G493">
        <v>6</v>
      </c>
      <c r="H493" s="3" t="s">
        <v>912</v>
      </c>
      <c r="I493" s="3" t="s">
        <v>39</v>
      </c>
      <c r="J493" s="3" t="s">
        <v>22</v>
      </c>
      <c r="K493" s="3" t="s">
        <v>898</v>
      </c>
      <c r="L493">
        <v>1598</v>
      </c>
      <c r="M493" s="3" t="s">
        <v>908</v>
      </c>
      <c r="N493">
        <v>19176</v>
      </c>
      <c r="O493">
        <v>3196</v>
      </c>
      <c r="P493">
        <v>3</v>
      </c>
      <c r="Q493" s="3" t="s">
        <v>908</v>
      </c>
      <c r="R493">
        <v>0</v>
      </c>
      <c r="S493">
        <v>0</v>
      </c>
      <c r="T493" s="3" t="s">
        <v>916</v>
      </c>
      <c r="U493">
        <v>95</v>
      </c>
      <c r="V493" s="3" t="s">
        <v>910</v>
      </c>
    </row>
    <row r="494" spans="1:22" x14ac:dyDescent="0.3">
      <c r="A494">
        <v>493</v>
      </c>
      <c r="B494" s="3" t="s">
        <v>696</v>
      </c>
      <c r="C494" s="3" t="s">
        <v>697</v>
      </c>
      <c r="D494" s="3" t="s">
        <v>1402</v>
      </c>
      <c r="E494" s="3" t="s">
        <v>32</v>
      </c>
      <c r="F494" s="1">
        <v>43974</v>
      </c>
      <c r="G494">
        <v>6</v>
      </c>
      <c r="H494" s="3" t="s">
        <v>912</v>
      </c>
      <c r="I494" s="3" t="s">
        <v>77</v>
      </c>
      <c r="J494" s="3" t="s">
        <v>29</v>
      </c>
      <c r="K494" s="3" t="s">
        <v>898</v>
      </c>
      <c r="L494">
        <v>1714</v>
      </c>
      <c r="M494" s="3" t="s">
        <v>908</v>
      </c>
      <c r="N494">
        <v>20568</v>
      </c>
      <c r="O494">
        <v>3428</v>
      </c>
      <c r="P494">
        <v>5</v>
      </c>
      <c r="Q494" s="3" t="s">
        <v>913</v>
      </c>
      <c r="R494">
        <v>6</v>
      </c>
      <c r="S494">
        <v>0</v>
      </c>
      <c r="T494" s="3" t="s">
        <v>908</v>
      </c>
      <c r="U494">
        <v>11</v>
      </c>
      <c r="V494" s="3" t="s">
        <v>910</v>
      </c>
    </row>
    <row r="495" spans="1:22" x14ac:dyDescent="0.3">
      <c r="A495">
        <v>494</v>
      </c>
      <c r="B495" s="3" t="s">
        <v>302</v>
      </c>
      <c r="C495" s="3" t="s">
        <v>698</v>
      </c>
      <c r="D495" s="3" t="s">
        <v>1403</v>
      </c>
      <c r="E495" s="3" t="s">
        <v>32</v>
      </c>
      <c r="F495" s="1">
        <v>43038</v>
      </c>
      <c r="G495">
        <v>8</v>
      </c>
      <c r="H495" s="3" t="s">
        <v>907</v>
      </c>
      <c r="I495" s="3" t="s">
        <v>93</v>
      </c>
      <c r="J495" s="3" t="s">
        <v>29</v>
      </c>
      <c r="K495" s="3" t="s">
        <v>19</v>
      </c>
      <c r="L495">
        <v>2994</v>
      </c>
      <c r="M495" s="3" t="s">
        <v>913</v>
      </c>
      <c r="N495">
        <v>35928</v>
      </c>
      <c r="O495">
        <v>4491</v>
      </c>
      <c r="P495">
        <v>4.5</v>
      </c>
      <c r="Q495" s="3" t="s">
        <v>913</v>
      </c>
      <c r="R495">
        <v>1</v>
      </c>
      <c r="S495">
        <v>0</v>
      </c>
      <c r="T495" s="3" t="s">
        <v>909</v>
      </c>
      <c r="U495">
        <v>4</v>
      </c>
      <c r="V495" s="3" t="s">
        <v>917</v>
      </c>
    </row>
    <row r="496" spans="1:22" x14ac:dyDescent="0.3">
      <c r="A496">
        <v>495</v>
      </c>
      <c r="B496" s="3" t="s">
        <v>699</v>
      </c>
      <c r="C496" s="3" t="s">
        <v>700</v>
      </c>
      <c r="D496" s="3" t="s">
        <v>1404</v>
      </c>
      <c r="E496" s="3" t="s">
        <v>32</v>
      </c>
      <c r="F496" s="1">
        <v>43838</v>
      </c>
      <c r="G496">
        <v>6</v>
      </c>
      <c r="H496" s="3" t="s">
        <v>912</v>
      </c>
      <c r="I496" s="3" t="s">
        <v>28</v>
      </c>
      <c r="J496" s="3" t="s">
        <v>22</v>
      </c>
      <c r="K496" s="3" t="s">
        <v>898</v>
      </c>
      <c r="L496">
        <v>2125</v>
      </c>
      <c r="M496" s="3" t="s">
        <v>908</v>
      </c>
      <c r="N496">
        <v>25500</v>
      </c>
      <c r="O496">
        <v>4250</v>
      </c>
      <c r="P496">
        <v>4.5</v>
      </c>
      <c r="Q496" s="3" t="s">
        <v>913</v>
      </c>
      <c r="R496">
        <v>6</v>
      </c>
      <c r="S496">
        <v>0</v>
      </c>
      <c r="T496" s="3" t="s">
        <v>908</v>
      </c>
      <c r="U496">
        <v>6</v>
      </c>
      <c r="V496" s="3" t="s">
        <v>917</v>
      </c>
    </row>
    <row r="497" spans="1:22" x14ac:dyDescent="0.3">
      <c r="A497">
        <v>496</v>
      </c>
      <c r="B497" s="3" t="s">
        <v>647</v>
      </c>
      <c r="C497" s="3" t="s">
        <v>701</v>
      </c>
      <c r="D497" s="3" t="s">
        <v>1405</v>
      </c>
      <c r="E497" s="3" t="s">
        <v>307</v>
      </c>
      <c r="F497" s="1">
        <v>43493</v>
      </c>
      <c r="G497">
        <v>7</v>
      </c>
      <c r="H497" s="3" t="s">
        <v>907</v>
      </c>
      <c r="I497" s="3" t="s">
        <v>77</v>
      </c>
      <c r="J497" s="3" t="s">
        <v>18</v>
      </c>
      <c r="K497" s="3" t="s">
        <v>42</v>
      </c>
      <c r="L497">
        <v>3059</v>
      </c>
      <c r="M497" s="3" t="s">
        <v>913</v>
      </c>
      <c r="N497">
        <v>36708</v>
      </c>
      <c r="O497">
        <v>5244</v>
      </c>
      <c r="P497">
        <v>4.5</v>
      </c>
      <c r="Q497" s="3" t="s">
        <v>913</v>
      </c>
      <c r="R497">
        <v>5</v>
      </c>
      <c r="S497">
        <v>0</v>
      </c>
      <c r="T497" s="3" t="s">
        <v>908</v>
      </c>
      <c r="U497">
        <v>9</v>
      </c>
      <c r="V497" s="3" t="s">
        <v>917</v>
      </c>
    </row>
    <row r="498" spans="1:22" x14ac:dyDescent="0.3">
      <c r="A498">
        <v>497</v>
      </c>
      <c r="B498" s="3" t="s">
        <v>30</v>
      </c>
      <c r="C498" s="3" t="s">
        <v>702</v>
      </c>
      <c r="D498" s="3" t="s">
        <v>1406</v>
      </c>
      <c r="E498" s="3" t="s">
        <v>32</v>
      </c>
      <c r="F498" s="1">
        <v>43482</v>
      </c>
      <c r="G498">
        <v>7</v>
      </c>
      <c r="H498" s="3" t="s">
        <v>907</v>
      </c>
      <c r="I498" s="3" t="s">
        <v>41</v>
      </c>
      <c r="J498" s="3" t="s">
        <v>29</v>
      </c>
      <c r="K498" s="3" t="s">
        <v>42</v>
      </c>
      <c r="L498">
        <v>2077</v>
      </c>
      <c r="M498" s="3" t="s">
        <v>908</v>
      </c>
      <c r="N498">
        <v>24924</v>
      </c>
      <c r="O498">
        <v>3560.5714285714284</v>
      </c>
      <c r="P498">
        <v>5</v>
      </c>
      <c r="Q498" s="3" t="s">
        <v>913</v>
      </c>
      <c r="R498">
        <v>6</v>
      </c>
      <c r="S498">
        <v>0</v>
      </c>
      <c r="T498" s="3" t="s">
        <v>908</v>
      </c>
      <c r="U498">
        <v>4</v>
      </c>
      <c r="V498" s="3" t="s">
        <v>917</v>
      </c>
    </row>
    <row r="499" spans="1:22" x14ac:dyDescent="0.3">
      <c r="A499">
        <v>498</v>
      </c>
      <c r="B499" s="3" t="s">
        <v>703</v>
      </c>
      <c r="C499" s="3" t="s">
        <v>704</v>
      </c>
      <c r="D499" s="3" t="s">
        <v>1407</v>
      </c>
      <c r="E499" s="3" t="s">
        <v>32</v>
      </c>
      <c r="F499" s="1">
        <v>43351</v>
      </c>
      <c r="G499">
        <v>7</v>
      </c>
      <c r="H499" s="3" t="s">
        <v>907</v>
      </c>
      <c r="I499" s="3" t="s">
        <v>28</v>
      </c>
      <c r="J499" s="3" t="s">
        <v>18</v>
      </c>
      <c r="K499" s="3" t="s">
        <v>19</v>
      </c>
      <c r="L499">
        <v>1962</v>
      </c>
      <c r="M499" s="3" t="s">
        <v>908</v>
      </c>
      <c r="N499">
        <v>23544</v>
      </c>
      <c r="O499">
        <v>3363.4285714285716</v>
      </c>
      <c r="P499">
        <v>4.5</v>
      </c>
      <c r="Q499" s="3" t="s">
        <v>913</v>
      </c>
      <c r="R499">
        <v>6</v>
      </c>
      <c r="S499">
        <v>0</v>
      </c>
      <c r="T499" s="3" t="s">
        <v>908</v>
      </c>
      <c r="U499">
        <v>10</v>
      </c>
      <c r="V499" s="3" t="s">
        <v>917</v>
      </c>
    </row>
    <row r="500" spans="1:22" x14ac:dyDescent="0.3">
      <c r="A500">
        <v>499</v>
      </c>
      <c r="B500" s="3" t="s">
        <v>33</v>
      </c>
      <c r="C500" s="3" t="s">
        <v>705</v>
      </c>
      <c r="D500" s="3" t="s">
        <v>1408</v>
      </c>
      <c r="E500" s="3" t="s">
        <v>32</v>
      </c>
      <c r="F500" s="1">
        <v>43600</v>
      </c>
      <c r="G500">
        <v>7</v>
      </c>
      <c r="H500" s="3" t="s">
        <v>907</v>
      </c>
      <c r="I500" s="3" t="s">
        <v>50</v>
      </c>
      <c r="J500" s="3" t="s">
        <v>18</v>
      </c>
      <c r="K500" s="3" t="s">
        <v>36</v>
      </c>
      <c r="L500">
        <v>1573</v>
      </c>
      <c r="M500" s="3" t="s">
        <v>908</v>
      </c>
      <c r="N500">
        <v>18876</v>
      </c>
      <c r="O500">
        <v>2696.5714285714284</v>
      </c>
      <c r="P500">
        <v>3</v>
      </c>
      <c r="Q500" s="3" t="s">
        <v>908</v>
      </c>
      <c r="R500">
        <v>6</v>
      </c>
      <c r="S500">
        <v>0</v>
      </c>
      <c r="T500" s="3" t="s">
        <v>908</v>
      </c>
      <c r="U500">
        <v>2</v>
      </c>
      <c r="V500" s="3" t="s">
        <v>917</v>
      </c>
    </row>
    <row r="501" spans="1:22" x14ac:dyDescent="0.3">
      <c r="A501">
        <v>500</v>
      </c>
      <c r="B501" s="3" t="s">
        <v>433</v>
      </c>
      <c r="C501" s="3" t="s">
        <v>706</v>
      </c>
      <c r="D501" s="3" t="s">
        <v>1409</v>
      </c>
      <c r="E501" s="3" t="s">
        <v>307</v>
      </c>
      <c r="F501" s="1">
        <v>43642</v>
      </c>
      <c r="G501">
        <v>7</v>
      </c>
      <c r="H501" s="3" t="s">
        <v>907</v>
      </c>
      <c r="I501" s="3" t="s">
        <v>41</v>
      </c>
      <c r="J501" s="3" t="s">
        <v>22</v>
      </c>
      <c r="K501" s="3" t="s">
        <v>36</v>
      </c>
      <c r="L501">
        <v>882</v>
      </c>
      <c r="M501" s="3" t="s">
        <v>909</v>
      </c>
      <c r="N501">
        <v>10584</v>
      </c>
      <c r="O501">
        <v>1512</v>
      </c>
      <c r="P501">
        <v>5</v>
      </c>
      <c r="Q501" s="3" t="s">
        <v>913</v>
      </c>
      <c r="R501">
        <v>0</v>
      </c>
      <c r="S501">
        <v>0</v>
      </c>
      <c r="T501" s="3" t="s">
        <v>916</v>
      </c>
      <c r="U501">
        <v>8</v>
      </c>
      <c r="V501" s="3" t="s">
        <v>917</v>
      </c>
    </row>
    <row r="502" spans="1:22" x14ac:dyDescent="0.3">
      <c r="A502">
        <v>501</v>
      </c>
      <c r="B502" s="3" t="s">
        <v>647</v>
      </c>
      <c r="C502" s="3" t="s">
        <v>707</v>
      </c>
      <c r="D502" s="3" t="s">
        <v>1410</v>
      </c>
      <c r="E502" s="3" t="s">
        <v>307</v>
      </c>
      <c r="F502" s="1">
        <v>43398</v>
      </c>
      <c r="G502">
        <v>7</v>
      </c>
      <c r="H502" s="3" t="s">
        <v>907</v>
      </c>
      <c r="I502" s="3" t="s">
        <v>28</v>
      </c>
      <c r="J502" s="3" t="s">
        <v>18</v>
      </c>
      <c r="K502" s="3" t="s">
        <v>19</v>
      </c>
      <c r="L502">
        <v>1036</v>
      </c>
      <c r="M502" s="3" t="s">
        <v>909</v>
      </c>
      <c r="N502">
        <v>12432</v>
      </c>
      <c r="O502">
        <v>1776</v>
      </c>
      <c r="P502">
        <v>5</v>
      </c>
      <c r="Q502" s="3" t="s">
        <v>913</v>
      </c>
      <c r="R502">
        <v>0</v>
      </c>
      <c r="S502">
        <v>6</v>
      </c>
      <c r="T502" s="3" t="s">
        <v>908</v>
      </c>
      <c r="U502">
        <v>2</v>
      </c>
      <c r="V502" s="3" t="s">
        <v>917</v>
      </c>
    </row>
    <row r="503" spans="1:22" x14ac:dyDescent="0.3">
      <c r="A503">
        <v>502</v>
      </c>
      <c r="B503" s="3" t="s">
        <v>708</v>
      </c>
      <c r="C503" s="3" t="s">
        <v>709</v>
      </c>
      <c r="D503" s="3" t="s">
        <v>1411</v>
      </c>
      <c r="E503" s="3" t="s">
        <v>32</v>
      </c>
      <c r="F503" s="1">
        <v>42381</v>
      </c>
      <c r="G503">
        <v>10</v>
      </c>
      <c r="H503" s="3" t="s">
        <v>920</v>
      </c>
      <c r="I503" s="3" t="s">
        <v>50</v>
      </c>
      <c r="J503" s="3" t="s">
        <v>18</v>
      </c>
      <c r="K503" s="3" t="s">
        <v>898</v>
      </c>
      <c r="L503">
        <v>2790</v>
      </c>
      <c r="M503" s="3" t="s">
        <v>913</v>
      </c>
      <c r="N503">
        <v>33480</v>
      </c>
      <c r="O503">
        <v>3348</v>
      </c>
      <c r="P503">
        <v>1</v>
      </c>
      <c r="Q503" s="3" t="s">
        <v>909</v>
      </c>
      <c r="R503">
        <v>1</v>
      </c>
      <c r="S503">
        <v>0</v>
      </c>
      <c r="T503" s="3" t="s">
        <v>909</v>
      </c>
      <c r="U503">
        <v>8</v>
      </c>
      <c r="V503" s="3" t="s">
        <v>917</v>
      </c>
    </row>
    <row r="504" spans="1:22" x14ac:dyDescent="0.3">
      <c r="A504">
        <v>503</v>
      </c>
      <c r="B504" s="3" t="s">
        <v>69</v>
      </c>
      <c r="C504" s="3" t="s">
        <v>142</v>
      </c>
      <c r="D504" s="3" t="s">
        <v>1412</v>
      </c>
      <c r="E504" s="3" t="s">
        <v>32</v>
      </c>
      <c r="F504" s="1">
        <v>43693</v>
      </c>
      <c r="G504">
        <v>7</v>
      </c>
      <c r="H504" s="3" t="s">
        <v>907</v>
      </c>
      <c r="I504" s="3" t="s">
        <v>28</v>
      </c>
      <c r="J504" s="3" t="s">
        <v>18</v>
      </c>
      <c r="K504" s="3" t="s">
        <v>42</v>
      </c>
      <c r="L504">
        <v>1951</v>
      </c>
      <c r="M504" s="3" t="s">
        <v>908</v>
      </c>
      <c r="N504">
        <v>23412</v>
      </c>
      <c r="O504">
        <v>3344.5714285714284</v>
      </c>
      <c r="P504">
        <v>4.5</v>
      </c>
      <c r="Q504" s="3" t="s">
        <v>913</v>
      </c>
      <c r="R504">
        <v>1</v>
      </c>
      <c r="S504">
        <v>0</v>
      </c>
      <c r="T504" s="3" t="s">
        <v>909</v>
      </c>
      <c r="U504">
        <v>8</v>
      </c>
      <c r="V504" s="3" t="s">
        <v>917</v>
      </c>
    </row>
    <row r="505" spans="1:22" x14ac:dyDescent="0.3">
      <c r="A505">
        <v>504</v>
      </c>
      <c r="B505" s="3" t="s">
        <v>30</v>
      </c>
      <c r="C505" s="3" t="s">
        <v>393</v>
      </c>
      <c r="D505" s="3" t="s">
        <v>1413</v>
      </c>
      <c r="E505" s="3" t="s">
        <v>32</v>
      </c>
      <c r="F505" s="1">
        <v>43289</v>
      </c>
      <c r="G505">
        <v>8</v>
      </c>
      <c r="H505" s="3" t="s">
        <v>907</v>
      </c>
      <c r="I505" s="3" t="s">
        <v>17</v>
      </c>
      <c r="J505" s="3" t="s">
        <v>18</v>
      </c>
      <c r="K505" s="3" t="s">
        <v>42</v>
      </c>
      <c r="L505">
        <v>2255</v>
      </c>
      <c r="M505" s="3" t="s">
        <v>908</v>
      </c>
      <c r="N505">
        <v>27060</v>
      </c>
      <c r="O505">
        <v>3382.5</v>
      </c>
      <c r="P505">
        <v>5</v>
      </c>
      <c r="Q505" s="3" t="s">
        <v>913</v>
      </c>
      <c r="R505">
        <v>0</v>
      </c>
      <c r="S505">
        <v>4</v>
      </c>
      <c r="T505" s="3" t="s">
        <v>908</v>
      </c>
      <c r="U505">
        <v>10</v>
      </c>
      <c r="V505" s="3" t="s">
        <v>917</v>
      </c>
    </row>
    <row r="506" spans="1:22" x14ac:dyDescent="0.3">
      <c r="A506">
        <v>505</v>
      </c>
      <c r="B506" s="3" t="s">
        <v>710</v>
      </c>
      <c r="C506" s="3" t="s">
        <v>711</v>
      </c>
      <c r="D506" s="3" t="s">
        <v>1414</v>
      </c>
      <c r="E506" s="3" t="s">
        <v>307</v>
      </c>
      <c r="F506" s="1">
        <v>42903</v>
      </c>
      <c r="G506">
        <v>9</v>
      </c>
      <c r="H506" s="3" t="s">
        <v>920</v>
      </c>
      <c r="I506" s="3" t="s">
        <v>118</v>
      </c>
      <c r="J506" s="3" t="s">
        <v>18</v>
      </c>
      <c r="K506" s="3" t="s">
        <v>898</v>
      </c>
      <c r="L506">
        <v>3388</v>
      </c>
      <c r="M506" s="3" t="s">
        <v>913</v>
      </c>
      <c r="N506">
        <v>40656</v>
      </c>
      <c r="O506">
        <v>4517.333333333333</v>
      </c>
      <c r="P506">
        <v>3</v>
      </c>
      <c r="Q506" s="3" t="s">
        <v>908</v>
      </c>
      <c r="R506">
        <v>3</v>
      </c>
      <c r="S506">
        <v>0</v>
      </c>
      <c r="T506" s="3" t="s">
        <v>909</v>
      </c>
      <c r="U506">
        <v>0</v>
      </c>
      <c r="V506" s="3" t="s">
        <v>955</v>
      </c>
    </row>
    <row r="507" spans="1:22" x14ac:dyDescent="0.3">
      <c r="A507">
        <v>506</v>
      </c>
      <c r="B507" s="3" t="s">
        <v>712</v>
      </c>
      <c r="C507" s="3" t="s">
        <v>713</v>
      </c>
      <c r="D507" s="3" t="s">
        <v>1415</v>
      </c>
      <c r="E507" s="3" t="s">
        <v>32</v>
      </c>
      <c r="F507" s="1">
        <v>44123</v>
      </c>
      <c r="G507">
        <v>5</v>
      </c>
      <c r="H507" s="3" t="s">
        <v>912</v>
      </c>
      <c r="I507" s="3" t="s">
        <v>58</v>
      </c>
      <c r="J507" s="3" t="s">
        <v>18</v>
      </c>
      <c r="K507" s="3" t="s">
        <v>19</v>
      </c>
      <c r="L507">
        <v>707</v>
      </c>
      <c r="M507" s="3" t="s">
        <v>909</v>
      </c>
      <c r="N507">
        <v>8484</v>
      </c>
      <c r="O507">
        <v>1696.8</v>
      </c>
      <c r="P507">
        <v>2</v>
      </c>
      <c r="Q507" s="3" t="s">
        <v>909</v>
      </c>
      <c r="R507">
        <v>1</v>
      </c>
      <c r="S507">
        <v>0</v>
      </c>
      <c r="T507" s="3" t="s">
        <v>909</v>
      </c>
      <c r="U507">
        <v>9</v>
      </c>
      <c r="V507" s="3" t="s">
        <v>917</v>
      </c>
    </row>
    <row r="508" spans="1:22" x14ac:dyDescent="0.3">
      <c r="A508">
        <v>507</v>
      </c>
      <c r="B508" s="3" t="s">
        <v>192</v>
      </c>
      <c r="C508" s="3" t="s">
        <v>714</v>
      </c>
      <c r="D508" s="3" t="s">
        <v>1416</v>
      </c>
      <c r="E508" s="3" t="s">
        <v>307</v>
      </c>
      <c r="F508" s="1">
        <v>43996</v>
      </c>
      <c r="G508">
        <v>6</v>
      </c>
      <c r="H508" s="3" t="s">
        <v>912</v>
      </c>
      <c r="I508" s="3" t="s">
        <v>93</v>
      </c>
      <c r="J508" s="3" t="s">
        <v>18</v>
      </c>
      <c r="K508" s="3" t="s">
        <v>42</v>
      </c>
      <c r="L508">
        <v>1161</v>
      </c>
      <c r="M508" s="3" t="s">
        <v>909</v>
      </c>
      <c r="N508">
        <v>13932</v>
      </c>
      <c r="O508">
        <v>2322</v>
      </c>
      <c r="P508">
        <v>5</v>
      </c>
      <c r="Q508" s="3" t="s">
        <v>913</v>
      </c>
      <c r="R508">
        <v>0</v>
      </c>
      <c r="S508">
        <v>0</v>
      </c>
      <c r="T508" s="3" t="s">
        <v>916</v>
      </c>
      <c r="U508">
        <v>9</v>
      </c>
      <c r="V508" s="3" t="s">
        <v>917</v>
      </c>
    </row>
    <row r="509" spans="1:22" x14ac:dyDescent="0.3">
      <c r="A509">
        <v>508</v>
      </c>
      <c r="B509" s="3" t="s">
        <v>715</v>
      </c>
      <c r="C509" s="3" t="s">
        <v>716</v>
      </c>
      <c r="D509" s="3" t="s">
        <v>1417</v>
      </c>
      <c r="E509" s="3" t="s">
        <v>32</v>
      </c>
      <c r="F509" s="1">
        <v>43572</v>
      </c>
      <c r="G509">
        <v>7</v>
      </c>
      <c r="H509" s="3" t="s">
        <v>907</v>
      </c>
      <c r="I509" s="3" t="s">
        <v>17</v>
      </c>
      <c r="J509" s="3" t="s">
        <v>29</v>
      </c>
      <c r="K509" s="3" t="s">
        <v>42</v>
      </c>
      <c r="L509">
        <v>1165</v>
      </c>
      <c r="M509" s="3" t="s">
        <v>909</v>
      </c>
      <c r="N509">
        <v>13980</v>
      </c>
      <c r="O509">
        <v>1997.1428571428571</v>
      </c>
      <c r="P509">
        <v>5</v>
      </c>
      <c r="Q509" s="3" t="s">
        <v>913</v>
      </c>
      <c r="R509">
        <v>0</v>
      </c>
      <c r="S509">
        <v>0</v>
      </c>
      <c r="T509" s="3" t="s">
        <v>916</v>
      </c>
      <c r="U509">
        <v>9</v>
      </c>
      <c r="V509" s="3" t="s">
        <v>917</v>
      </c>
    </row>
    <row r="510" spans="1:22" x14ac:dyDescent="0.3">
      <c r="A510">
        <v>509</v>
      </c>
      <c r="B510" s="3" t="s">
        <v>59</v>
      </c>
      <c r="C510" s="3" t="s">
        <v>599</v>
      </c>
      <c r="D510" s="3" t="s">
        <v>1418</v>
      </c>
      <c r="E510" s="3" t="s">
        <v>307</v>
      </c>
      <c r="F510" s="1">
        <v>43542</v>
      </c>
      <c r="G510">
        <v>7</v>
      </c>
      <c r="H510" s="3" t="s">
        <v>907</v>
      </c>
      <c r="I510" s="3" t="s">
        <v>50</v>
      </c>
      <c r="J510" s="3" t="s">
        <v>29</v>
      </c>
      <c r="K510" s="3" t="s">
        <v>42</v>
      </c>
      <c r="L510">
        <v>1351</v>
      </c>
      <c r="M510" s="3" t="s">
        <v>909</v>
      </c>
      <c r="N510">
        <v>16212</v>
      </c>
      <c r="O510">
        <v>2316</v>
      </c>
      <c r="P510">
        <v>5</v>
      </c>
      <c r="Q510" s="3" t="s">
        <v>913</v>
      </c>
      <c r="R510">
        <v>0</v>
      </c>
      <c r="S510">
        <v>0</v>
      </c>
      <c r="T510" s="3" t="s">
        <v>916</v>
      </c>
      <c r="U510">
        <v>7</v>
      </c>
      <c r="V510" s="3" t="s">
        <v>917</v>
      </c>
    </row>
    <row r="511" spans="1:22" x14ac:dyDescent="0.3">
      <c r="A511">
        <v>510</v>
      </c>
      <c r="B511" s="3" t="s">
        <v>599</v>
      </c>
      <c r="C511" s="3" t="s">
        <v>717</v>
      </c>
      <c r="D511" s="3" t="s">
        <v>1419</v>
      </c>
      <c r="E511" s="3" t="s">
        <v>32</v>
      </c>
      <c r="F511" s="1">
        <v>42649</v>
      </c>
      <c r="G511">
        <v>9</v>
      </c>
      <c r="H511" s="3" t="s">
        <v>920</v>
      </c>
      <c r="I511" s="3" t="s">
        <v>35</v>
      </c>
      <c r="J511" s="3" t="s">
        <v>18</v>
      </c>
      <c r="K511" s="3" t="s">
        <v>898</v>
      </c>
      <c r="L511">
        <v>1406</v>
      </c>
      <c r="M511" s="3" t="s">
        <v>909</v>
      </c>
      <c r="N511">
        <v>16872</v>
      </c>
      <c r="O511">
        <v>1874.6666666666667</v>
      </c>
      <c r="P511">
        <v>3</v>
      </c>
      <c r="Q511" s="3" t="s">
        <v>908</v>
      </c>
      <c r="R511">
        <v>0</v>
      </c>
      <c r="S511">
        <v>3</v>
      </c>
      <c r="T511" s="3" t="s">
        <v>909</v>
      </c>
      <c r="U511">
        <v>7</v>
      </c>
      <c r="V511" s="3" t="s">
        <v>917</v>
      </c>
    </row>
    <row r="512" spans="1:22" x14ac:dyDescent="0.3">
      <c r="A512">
        <v>511</v>
      </c>
      <c r="B512" s="3" t="s">
        <v>718</v>
      </c>
      <c r="C512" s="3" t="s">
        <v>719</v>
      </c>
      <c r="D512" s="3" t="s">
        <v>1420</v>
      </c>
      <c r="E512" s="3" t="s">
        <v>307</v>
      </c>
      <c r="F512" s="1">
        <v>43473</v>
      </c>
      <c r="G512">
        <v>7</v>
      </c>
      <c r="H512" s="3" t="s">
        <v>907</v>
      </c>
      <c r="I512" s="3" t="s">
        <v>41</v>
      </c>
      <c r="J512" s="3" t="s">
        <v>22</v>
      </c>
      <c r="K512" s="3" t="s">
        <v>42</v>
      </c>
      <c r="L512">
        <v>1699</v>
      </c>
      <c r="M512" s="3" t="s">
        <v>908</v>
      </c>
      <c r="N512">
        <v>20388</v>
      </c>
      <c r="O512">
        <v>2912.5714285714284</v>
      </c>
      <c r="P512">
        <v>5</v>
      </c>
      <c r="Q512" s="3" t="s">
        <v>913</v>
      </c>
      <c r="R512">
        <v>0</v>
      </c>
      <c r="S512">
        <v>2</v>
      </c>
      <c r="T512" s="3" t="s">
        <v>909</v>
      </c>
      <c r="U512">
        <v>5</v>
      </c>
      <c r="V512" s="3" t="s">
        <v>917</v>
      </c>
    </row>
    <row r="513" spans="1:22" x14ac:dyDescent="0.3">
      <c r="A513">
        <v>512</v>
      </c>
      <c r="B513" s="3" t="s">
        <v>388</v>
      </c>
      <c r="C513" s="3" t="s">
        <v>341</v>
      </c>
      <c r="D513" s="3" t="s">
        <v>1421</v>
      </c>
      <c r="E513" s="3" t="s">
        <v>32</v>
      </c>
      <c r="F513" s="1">
        <v>43043</v>
      </c>
      <c r="G513">
        <v>8</v>
      </c>
      <c r="H513" s="3" t="s">
        <v>907</v>
      </c>
      <c r="I513" s="3" t="s">
        <v>53</v>
      </c>
      <c r="J513" s="3" t="s">
        <v>18</v>
      </c>
      <c r="K513" s="3" t="s">
        <v>36</v>
      </c>
      <c r="L513">
        <v>3007</v>
      </c>
      <c r="M513" s="3" t="s">
        <v>913</v>
      </c>
      <c r="N513">
        <v>36084</v>
      </c>
      <c r="O513">
        <v>4510.5</v>
      </c>
      <c r="P513">
        <v>5</v>
      </c>
      <c r="Q513" s="3" t="s">
        <v>913</v>
      </c>
      <c r="R513">
        <v>0</v>
      </c>
      <c r="S513">
        <v>6</v>
      </c>
      <c r="T513" s="3" t="s">
        <v>908</v>
      </c>
      <c r="U513">
        <v>11</v>
      </c>
      <c r="V513" s="3" t="s">
        <v>910</v>
      </c>
    </row>
    <row r="514" spans="1:22" x14ac:dyDescent="0.3">
      <c r="A514">
        <v>513</v>
      </c>
      <c r="B514" s="3" t="s">
        <v>720</v>
      </c>
      <c r="C514" s="3" t="s">
        <v>721</v>
      </c>
      <c r="D514" s="3" t="s">
        <v>1422</v>
      </c>
      <c r="E514" s="3" t="s">
        <v>307</v>
      </c>
      <c r="F514" s="1">
        <v>44008</v>
      </c>
      <c r="G514">
        <v>6</v>
      </c>
      <c r="H514" s="3" t="s">
        <v>912</v>
      </c>
      <c r="I514" s="3" t="s">
        <v>35</v>
      </c>
      <c r="J514" s="3" t="s">
        <v>18</v>
      </c>
      <c r="K514" s="3" t="s">
        <v>42</v>
      </c>
      <c r="L514">
        <v>879</v>
      </c>
      <c r="M514" s="3" t="s">
        <v>909</v>
      </c>
      <c r="N514">
        <v>10548</v>
      </c>
      <c r="O514">
        <v>1758</v>
      </c>
      <c r="P514">
        <v>3</v>
      </c>
      <c r="Q514" s="3" t="s">
        <v>908</v>
      </c>
      <c r="R514">
        <v>0</v>
      </c>
      <c r="S514">
        <v>0</v>
      </c>
      <c r="T514" s="3" t="s">
        <v>916</v>
      </c>
      <c r="U514">
        <v>1</v>
      </c>
      <c r="V514" s="3" t="s">
        <v>917</v>
      </c>
    </row>
    <row r="515" spans="1:22" x14ac:dyDescent="0.3">
      <c r="A515">
        <v>514</v>
      </c>
      <c r="B515" s="3" t="s">
        <v>33</v>
      </c>
      <c r="C515" s="3" t="s">
        <v>722</v>
      </c>
      <c r="D515" s="3" t="s">
        <v>1423</v>
      </c>
      <c r="E515" s="3" t="s">
        <v>32</v>
      </c>
      <c r="F515" s="1">
        <v>43586</v>
      </c>
      <c r="G515">
        <v>7</v>
      </c>
      <c r="H515" s="3" t="s">
        <v>907</v>
      </c>
      <c r="I515" s="3" t="s">
        <v>77</v>
      </c>
      <c r="J515" s="3" t="s">
        <v>294</v>
      </c>
      <c r="K515" s="3" t="s">
        <v>36</v>
      </c>
      <c r="L515">
        <v>2537</v>
      </c>
      <c r="M515" s="3" t="s">
        <v>913</v>
      </c>
      <c r="N515">
        <v>30444</v>
      </c>
      <c r="O515">
        <v>4349.1428571428569</v>
      </c>
      <c r="P515">
        <v>2</v>
      </c>
      <c r="Q515" s="3" t="s">
        <v>909</v>
      </c>
      <c r="R515">
        <v>0</v>
      </c>
      <c r="S515">
        <v>0</v>
      </c>
      <c r="T515" s="3" t="s">
        <v>916</v>
      </c>
      <c r="U515">
        <v>3</v>
      </c>
      <c r="V515" s="3" t="s">
        <v>917</v>
      </c>
    </row>
    <row r="516" spans="1:22" x14ac:dyDescent="0.3">
      <c r="A516">
        <v>515</v>
      </c>
      <c r="B516" s="3" t="s">
        <v>33</v>
      </c>
      <c r="C516" s="3" t="s">
        <v>370</v>
      </c>
      <c r="D516" s="3" t="s">
        <v>1424</v>
      </c>
      <c r="E516" s="3" t="s">
        <v>32</v>
      </c>
      <c r="F516" s="1">
        <v>44150</v>
      </c>
      <c r="G516">
        <v>5</v>
      </c>
      <c r="H516" s="3" t="s">
        <v>912</v>
      </c>
      <c r="I516" s="3" t="s">
        <v>41</v>
      </c>
      <c r="J516" s="3" t="s">
        <v>18</v>
      </c>
      <c r="K516" s="3" t="s">
        <v>36</v>
      </c>
      <c r="L516">
        <v>2663</v>
      </c>
      <c r="M516" s="3" t="s">
        <v>913</v>
      </c>
      <c r="N516">
        <v>31956</v>
      </c>
      <c r="O516">
        <v>6391.2</v>
      </c>
      <c r="P516">
        <v>3</v>
      </c>
      <c r="Q516" s="3" t="s">
        <v>908</v>
      </c>
      <c r="R516">
        <v>0</v>
      </c>
      <c r="S516">
        <v>0</v>
      </c>
      <c r="T516" s="3" t="s">
        <v>916</v>
      </c>
      <c r="U516">
        <v>2</v>
      </c>
      <c r="V516" s="3" t="s">
        <v>917</v>
      </c>
    </row>
    <row r="517" spans="1:22" x14ac:dyDescent="0.3">
      <c r="A517">
        <v>516</v>
      </c>
      <c r="B517" s="3" t="s">
        <v>398</v>
      </c>
      <c r="C517" s="3" t="s">
        <v>313</v>
      </c>
      <c r="D517" s="3" t="s">
        <v>1425</v>
      </c>
      <c r="E517" s="3" t="s">
        <v>32</v>
      </c>
      <c r="F517" s="1">
        <v>44119</v>
      </c>
      <c r="G517">
        <v>5</v>
      </c>
      <c r="H517" s="3" t="s">
        <v>912</v>
      </c>
      <c r="I517" s="3" t="s">
        <v>17</v>
      </c>
      <c r="J517" s="3" t="s">
        <v>18</v>
      </c>
      <c r="K517" s="3" t="s">
        <v>42</v>
      </c>
      <c r="L517">
        <v>2494</v>
      </c>
      <c r="M517" s="3" t="s">
        <v>908</v>
      </c>
      <c r="N517">
        <v>29928</v>
      </c>
      <c r="O517">
        <v>5985.6</v>
      </c>
      <c r="P517">
        <v>4.5</v>
      </c>
      <c r="Q517" s="3" t="s">
        <v>913</v>
      </c>
      <c r="R517">
        <v>2</v>
      </c>
      <c r="S517">
        <v>0</v>
      </c>
      <c r="T517" s="3" t="s">
        <v>909</v>
      </c>
      <c r="U517">
        <v>2</v>
      </c>
      <c r="V517" s="3" t="s">
        <v>917</v>
      </c>
    </row>
    <row r="518" spans="1:22" x14ac:dyDescent="0.3">
      <c r="A518">
        <v>517</v>
      </c>
      <c r="B518" s="3" t="s">
        <v>723</v>
      </c>
      <c r="C518" s="3" t="s">
        <v>724</v>
      </c>
      <c r="D518" s="3" t="s">
        <v>1426</v>
      </c>
      <c r="E518" s="3" t="s">
        <v>307</v>
      </c>
      <c r="F518" s="1">
        <v>43775</v>
      </c>
      <c r="G518">
        <v>6</v>
      </c>
      <c r="H518" s="3" t="s">
        <v>912</v>
      </c>
      <c r="I518" s="3" t="s">
        <v>163</v>
      </c>
      <c r="J518" s="3" t="s">
        <v>29</v>
      </c>
      <c r="K518" s="3" t="s">
        <v>36</v>
      </c>
      <c r="L518">
        <v>2585</v>
      </c>
      <c r="M518" s="3" t="s">
        <v>913</v>
      </c>
      <c r="N518">
        <v>31020</v>
      </c>
      <c r="O518">
        <v>5170</v>
      </c>
      <c r="P518">
        <v>5</v>
      </c>
      <c r="Q518" s="3" t="s">
        <v>913</v>
      </c>
      <c r="R518">
        <v>1</v>
      </c>
      <c r="S518">
        <v>5</v>
      </c>
      <c r="T518" s="3" t="s">
        <v>908</v>
      </c>
      <c r="U518">
        <v>7</v>
      </c>
      <c r="V518" s="3" t="s">
        <v>917</v>
      </c>
    </row>
    <row r="519" spans="1:22" x14ac:dyDescent="0.3">
      <c r="A519">
        <v>518</v>
      </c>
      <c r="B519" s="3" t="s">
        <v>33</v>
      </c>
      <c r="C519" s="3" t="s">
        <v>313</v>
      </c>
      <c r="D519" s="3" t="s">
        <v>1427</v>
      </c>
      <c r="E519" s="3" t="s">
        <v>32</v>
      </c>
      <c r="F519" s="1">
        <v>43809</v>
      </c>
      <c r="G519">
        <v>6</v>
      </c>
      <c r="H519" s="3" t="s">
        <v>912</v>
      </c>
      <c r="I519" s="3" t="s">
        <v>45</v>
      </c>
      <c r="J519" s="3" t="s">
        <v>29</v>
      </c>
      <c r="K519" s="3" t="s">
        <v>42</v>
      </c>
      <c r="L519">
        <v>1776</v>
      </c>
      <c r="M519" s="3" t="s">
        <v>908</v>
      </c>
      <c r="N519">
        <v>21312</v>
      </c>
      <c r="O519">
        <v>3552</v>
      </c>
      <c r="P519">
        <v>2</v>
      </c>
      <c r="Q519" s="3" t="s">
        <v>909</v>
      </c>
      <c r="R519">
        <v>0</v>
      </c>
      <c r="S519">
        <v>0</v>
      </c>
      <c r="T519" s="3" t="s">
        <v>916</v>
      </c>
      <c r="U519">
        <v>0</v>
      </c>
      <c r="V519" s="3" t="s">
        <v>955</v>
      </c>
    </row>
    <row r="520" spans="1:22" x14ac:dyDescent="0.3">
      <c r="A520">
        <v>519</v>
      </c>
      <c r="B520" s="3" t="s">
        <v>89</v>
      </c>
      <c r="C520" s="3" t="s">
        <v>725</v>
      </c>
      <c r="D520" s="3" t="s">
        <v>1428</v>
      </c>
      <c r="E520" s="3" t="s">
        <v>307</v>
      </c>
      <c r="F520" s="1">
        <v>42993</v>
      </c>
      <c r="G520">
        <v>8</v>
      </c>
      <c r="H520" s="3" t="s">
        <v>907</v>
      </c>
      <c r="I520" s="3" t="s">
        <v>53</v>
      </c>
      <c r="J520" s="3" t="s">
        <v>18</v>
      </c>
      <c r="K520" s="3" t="s">
        <v>36</v>
      </c>
      <c r="L520">
        <v>3055</v>
      </c>
      <c r="M520" s="3" t="s">
        <v>913</v>
      </c>
      <c r="N520">
        <v>36660</v>
      </c>
      <c r="O520">
        <v>4582.5</v>
      </c>
      <c r="P520">
        <v>3</v>
      </c>
      <c r="Q520" s="3" t="s">
        <v>908</v>
      </c>
      <c r="R520">
        <v>0</v>
      </c>
      <c r="S520">
        <v>4</v>
      </c>
      <c r="T520" s="3" t="s">
        <v>908</v>
      </c>
      <c r="U520">
        <v>9</v>
      </c>
      <c r="V520" s="3" t="s">
        <v>917</v>
      </c>
    </row>
    <row r="521" spans="1:22" x14ac:dyDescent="0.3">
      <c r="A521">
        <v>520</v>
      </c>
      <c r="B521" s="3" t="s">
        <v>67</v>
      </c>
      <c r="C521" s="3" t="s">
        <v>726</v>
      </c>
      <c r="D521" s="3" t="s">
        <v>1429</v>
      </c>
      <c r="E521" s="3" t="s">
        <v>32</v>
      </c>
      <c r="F521" s="1">
        <v>43113</v>
      </c>
      <c r="G521">
        <v>8</v>
      </c>
      <c r="H521" s="3" t="s">
        <v>907</v>
      </c>
      <c r="I521" s="3" t="s">
        <v>28</v>
      </c>
      <c r="J521" s="3" t="s">
        <v>22</v>
      </c>
      <c r="K521" s="3" t="s">
        <v>42</v>
      </c>
      <c r="L521">
        <v>1707</v>
      </c>
      <c r="M521" s="3" t="s">
        <v>908</v>
      </c>
      <c r="N521">
        <v>20484</v>
      </c>
      <c r="O521">
        <v>2560.5</v>
      </c>
      <c r="P521">
        <v>3</v>
      </c>
      <c r="Q521" s="3" t="s">
        <v>908</v>
      </c>
      <c r="R521">
        <v>0</v>
      </c>
      <c r="S521">
        <v>0</v>
      </c>
      <c r="T521" s="3" t="s">
        <v>916</v>
      </c>
      <c r="U521">
        <v>4</v>
      </c>
      <c r="V521" s="3" t="s">
        <v>917</v>
      </c>
    </row>
    <row r="522" spans="1:22" x14ac:dyDescent="0.3">
      <c r="A522">
        <v>521</v>
      </c>
      <c r="B522" s="3" t="s">
        <v>30</v>
      </c>
      <c r="C522" s="3" t="s">
        <v>727</v>
      </c>
      <c r="D522" s="3" t="s">
        <v>1430</v>
      </c>
      <c r="E522" s="3" t="s">
        <v>32</v>
      </c>
      <c r="F522" s="1">
        <v>43643</v>
      </c>
      <c r="G522">
        <v>7</v>
      </c>
      <c r="H522" s="3" t="s">
        <v>907</v>
      </c>
      <c r="I522" s="3" t="s">
        <v>53</v>
      </c>
      <c r="J522" s="3" t="s">
        <v>29</v>
      </c>
      <c r="K522" s="3" t="s">
        <v>42</v>
      </c>
      <c r="L522">
        <v>2719</v>
      </c>
      <c r="M522" s="3" t="s">
        <v>913</v>
      </c>
      <c r="N522">
        <v>32628</v>
      </c>
      <c r="O522">
        <v>4661.1428571428569</v>
      </c>
      <c r="P522">
        <v>3</v>
      </c>
      <c r="Q522" s="3" t="s">
        <v>908</v>
      </c>
      <c r="R522">
        <v>0</v>
      </c>
      <c r="S522">
        <v>0</v>
      </c>
      <c r="T522" s="3" t="s">
        <v>916</v>
      </c>
      <c r="U522">
        <v>7</v>
      </c>
      <c r="V522" s="3" t="s">
        <v>917</v>
      </c>
    </row>
    <row r="523" spans="1:22" x14ac:dyDescent="0.3">
      <c r="A523">
        <v>522</v>
      </c>
      <c r="B523" s="3" t="s">
        <v>728</v>
      </c>
      <c r="C523" s="3" t="s">
        <v>183</v>
      </c>
      <c r="D523" s="3" t="s">
        <v>1431</v>
      </c>
      <c r="E523" s="3" t="s">
        <v>32</v>
      </c>
      <c r="F523" s="1">
        <v>44182</v>
      </c>
      <c r="G523">
        <v>5</v>
      </c>
      <c r="H523" s="3" t="s">
        <v>912</v>
      </c>
      <c r="I523" s="3" t="s">
        <v>58</v>
      </c>
      <c r="J523" s="3" t="s">
        <v>18</v>
      </c>
      <c r="K523" s="3" t="s">
        <v>60</v>
      </c>
      <c r="L523">
        <v>1715</v>
      </c>
      <c r="M523" s="3" t="s">
        <v>908</v>
      </c>
      <c r="N523">
        <v>20580</v>
      </c>
      <c r="O523">
        <v>4116</v>
      </c>
      <c r="P523">
        <v>3</v>
      </c>
      <c r="Q523" s="3" t="s">
        <v>908</v>
      </c>
      <c r="R523">
        <v>0</v>
      </c>
      <c r="S523">
        <v>0</v>
      </c>
      <c r="T523" s="3" t="s">
        <v>916</v>
      </c>
      <c r="U523">
        <v>10</v>
      </c>
      <c r="V523" s="3" t="s">
        <v>917</v>
      </c>
    </row>
    <row r="524" spans="1:22" x14ac:dyDescent="0.3">
      <c r="A524">
        <v>523</v>
      </c>
      <c r="B524" s="3" t="s">
        <v>33</v>
      </c>
      <c r="C524" s="3" t="s">
        <v>729</v>
      </c>
      <c r="D524" s="3" t="s">
        <v>1432</v>
      </c>
      <c r="E524" s="3" t="s">
        <v>32</v>
      </c>
      <c r="F524" s="1">
        <v>43487</v>
      </c>
      <c r="G524">
        <v>7</v>
      </c>
      <c r="H524" s="3" t="s">
        <v>907</v>
      </c>
      <c r="I524" s="3" t="s">
        <v>28</v>
      </c>
      <c r="J524" s="3" t="s">
        <v>18</v>
      </c>
      <c r="K524" s="3" t="s">
        <v>19</v>
      </c>
      <c r="L524">
        <v>2181</v>
      </c>
      <c r="M524" s="3" t="s">
        <v>908</v>
      </c>
      <c r="N524">
        <v>26172</v>
      </c>
      <c r="O524">
        <v>3738.8571428571427</v>
      </c>
      <c r="P524">
        <v>2</v>
      </c>
      <c r="Q524" s="3" t="s">
        <v>909</v>
      </c>
      <c r="R524">
        <v>0</v>
      </c>
      <c r="S524">
        <v>0</v>
      </c>
      <c r="T524" s="3" t="s">
        <v>916</v>
      </c>
      <c r="U524">
        <v>1</v>
      </c>
      <c r="V524" s="3" t="s">
        <v>917</v>
      </c>
    </row>
    <row r="525" spans="1:22" x14ac:dyDescent="0.3">
      <c r="A525">
        <v>524</v>
      </c>
      <c r="B525" s="3" t="s">
        <v>375</v>
      </c>
      <c r="C525" s="3" t="s">
        <v>575</v>
      </c>
      <c r="D525" s="3" t="s">
        <v>1433</v>
      </c>
      <c r="E525" s="3" t="s">
        <v>307</v>
      </c>
      <c r="F525" s="1">
        <v>43086</v>
      </c>
      <c r="G525">
        <v>8</v>
      </c>
      <c r="H525" s="3" t="s">
        <v>907</v>
      </c>
      <c r="I525" s="3" t="s">
        <v>28</v>
      </c>
      <c r="J525" s="3" t="s">
        <v>29</v>
      </c>
      <c r="K525" s="3" t="s">
        <v>36</v>
      </c>
      <c r="L525">
        <v>1382</v>
      </c>
      <c r="M525" s="3" t="s">
        <v>909</v>
      </c>
      <c r="N525">
        <v>16584</v>
      </c>
      <c r="O525">
        <v>2073</v>
      </c>
      <c r="P525">
        <v>5</v>
      </c>
      <c r="Q525" s="3" t="s">
        <v>913</v>
      </c>
      <c r="R525">
        <v>0</v>
      </c>
      <c r="S525">
        <v>4</v>
      </c>
      <c r="T525" s="3" t="s">
        <v>908</v>
      </c>
      <c r="U525">
        <v>8</v>
      </c>
      <c r="V525" s="3" t="s">
        <v>917</v>
      </c>
    </row>
    <row r="526" spans="1:22" x14ac:dyDescent="0.3">
      <c r="A526">
        <v>525</v>
      </c>
      <c r="B526" s="3" t="s">
        <v>375</v>
      </c>
      <c r="C526" s="3" t="s">
        <v>142</v>
      </c>
      <c r="D526" s="3" t="s">
        <v>1434</v>
      </c>
      <c r="E526" s="3" t="s">
        <v>307</v>
      </c>
      <c r="F526" s="1">
        <v>43957</v>
      </c>
      <c r="G526">
        <v>6</v>
      </c>
      <c r="H526" s="3" t="s">
        <v>912</v>
      </c>
      <c r="I526" s="3" t="s">
        <v>28</v>
      </c>
      <c r="J526" s="3" t="s">
        <v>18</v>
      </c>
      <c r="K526" s="3" t="s">
        <v>36</v>
      </c>
      <c r="L526">
        <v>3350</v>
      </c>
      <c r="M526" s="3" t="s">
        <v>913</v>
      </c>
      <c r="N526">
        <v>40200</v>
      </c>
      <c r="O526">
        <v>6700</v>
      </c>
      <c r="P526">
        <v>2</v>
      </c>
      <c r="Q526" s="3" t="s">
        <v>909</v>
      </c>
      <c r="R526">
        <v>0</v>
      </c>
      <c r="S526">
        <v>0</v>
      </c>
      <c r="T526" s="3" t="s">
        <v>916</v>
      </c>
      <c r="U526">
        <v>8</v>
      </c>
      <c r="V526" s="3" t="s">
        <v>917</v>
      </c>
    </row>
    <row r="527" spans="1:22" x14ac:dyDescent="0.3">
      <c r="A527">
        <v>526</v>
      </c>
      <c r="B527" s="3" t="s">
        <v>730</v>
      </c>
      <c r="C527" s="3" t="s">
        <v>731</v>
      </c>
      <c r="D527" s="3" t="s">
        <v>1435</v>
      </c>
      <c r="E527" s="3" t="s">
        <v>32</v>
      </c>
      <c r="F527" s="1">
        <v>43960</v>
      </c>
      <c r="G527">
        <v>6</v>
      </c>
      <c r="H527" s="3" t="s">
        <v>912</v>
      </c>
      <c r="I527" s="3" t="s">
        <v>53</v>
      </c>
      <c r="J527" s="3" t="s">
        <v>29</v>
      </c>
      <c r="K527" s="3" t="s">
        <v>898</v>
      </c>
      <c r="L527">
        <v>1710</v>
      </c>
      <c r="M527" s="3" t="s">
        <v>908</v>
      </c>
      <c r="N527">
        <v>20520</v>
      </c>
      <c r="O527">
        <v>3420</v>
      </c>
      <c r="P527">
        <v>5</v>
      </c>
      <c r="Q527" s="3" t="s">
        <v>913</v>
      </c>
      <c r="R527">
        <v>0</v>
      </c>
      <c r="S527">
        <v>0</v>
      </c>
      <c r="T527" s="3" t="s">
        <v>916</v>
      </c>
      <c r="U527">
        <v>9</v>
      </c>
      <c r="V527" s="3" t="s">
        <v>917</v>
      </c>
    </row>
    <row r="528" spans="1:22" x14ac:dyDescent="0.3">
      <c r="A528">
        <v>527</v>
      </c>
      <c r="B528" s="3" t="s">
        <v>732</v>
      </c>
      <c r="C528" s="3" t="s">
        <v>733</v>
      </c>
      <c r="D528" s="3" t="s">
        <v>1436</v>
      </c>
      <c r="E528" s="3" t="s">
        <v>32</v>
      </c>
      <c r="F528" s="1">
        <v>43593</v>
      </c>
      <c r="G528">
        <v>7</v>
      </c>
      <c r="H528" s="3" t="s">
        <v>907</v>
      </c>
      <c r="I528" s="3" t="s">
        <v>28</v>
      </c>
      <c r="J528" s="3" t="s">
        <v>29</v>
      </c>
      <c r="K528" s="3" t="s">
        <v>42</v>
      </c>
      <c r="L528">
        <v>2785</v>
      </c>
      <c r="M528" s="3" t="s">
        <v>913</v>
      </c>
      <c r="N528">
        <v>33420</v>
      </c>
      <c r="O528">
        <v>4774.2857142857147</v>
      </c>
      <c r="P528">
        <v>1</v>
      </c>
      <c r="Q528" s="3" t="s">
        <v>909</v>
      </c>
      <c r="R528">
        <v>0</v>
      </c>
      <c r="S528">
        <v>4</v>
      </c>
      <c r="T528" s="3" t="s">
        <v>908</v>
      </c>
      <c r="U528">
        <v>3</v>
      </c>
      <c r="V528" s="3" t="s">
        <v>917</v>
      </c>
    </row>
    <row r="529" spans="1:22" x14ac:dyDescent="0.3">
      <c r="A529">
        <v>528</v>
      </c>
      <c r="B529" s="3" t="s">
        <v>734</v>
      </c>
      <c r="C529" s="3" t="s">
        <v>575</v>
      </c>
      <c r="D529" s="3" t="s">
        <v>1437</v>
      </c>
      <c r="E529" s="3" t="s">
        <v>307</v>
      </c>
      <c r="F529" s="1">
        <v>43784</v>
      </c>
      <c r="G529">
        <v>6</v>
      </c>
      <c r="H529" s="3" t="s">
        <v>912</v>
      </c>
      <c r="I529" s="3" t="s">
        <v>200</v>
      </c>
      <c r="J529" s="3" t="s">
        <v>29</v>
      </c>
      <c r="K529" s="3" t="s">
        <v>42</v>
      </c>
      <c r="L529">
        <v>2425</v>
      </c>
      <c r="M529" s="3" t="s">
        <v>908</v>
      </c>
      <c r="N529">
        <v>29100</v>
      </c>
      <c r="O529">
        <v>4850</v>
      </c>
      <c r="P529">
        <v>4.5</v>
      </c>
      <c r="Q529" s="3" t="s">
        <v>913</v>
      </c>
      <c r="R529">
        <v>0</v>
      </c>
      <c r="S529">
        <v>0</v>
      </c>
      <c r="T529" s="3" t="s">
        <v>916</v>
      </c>
      <c r="U529">
        <v>10</v>
      </c>
      <c r="V529" s="3" t="s">
        <v>917</v>
      </c>
    </row>
    <row r="530" spans="1:22" x14ac:dyDescent="0.3">
      <c r="A530">
        <v>529</v>
      </c>
      <c r="B530" s="3" t="s">
        <v>33</v>
      </c>
      <c r="C530" s="3" t="s">
        <v>735</v>
      </c>
      <c r="D530" s="3" t="s">
        <v>1438</v>
      </c>
      <c r="E530" s="3" t="s">
        <v>32</v>
      </c>
      <c r="F530" s="1">
        <v>43309</v>
      </c>
      <c r="G530">
        <v>8</v>
      </c>
      <c r="H530" s="3" t="s">
        <v>907</v>
      </c>
      <c r="I530" s="3" t="s">
        <v>58</v>
      </c>
      <c r="J530" s="3" t="s">
        <v>18</v>
      </c>
      <c r="K530" s="3" t="s">
        <v>60</v>
      </c>
      <c r="L530">
        <v>1117</v>
      </c>
      <c r="M530" s="3" t="s">
        <v>909</v>
      </c>
      <c r="N530">
        <v>13404</v>
      </c>
      <c r="O530">
        <v>1675.5</v>
      </c>
      <c r="P530">
        <v>3</v>
      </c>
      <c r="Q530" s="3" t="s">
        <v>908</v>
      </c>
      <c r="R530">
        <v>3</v>
      </c>
      <c r="S530">
        <v>0</v>
      </c>
      <c r="T530" s="3" t="s">
        <v>909</v>
      </c>
      <c r="U530">
        <v>8</v>
      </c>
      <c r="V530" s="3" t="s">
        <v>917</v>
      </c>
    </row>
    <row r="531" spans="1:22" x14ac:dyDescent="0.3">
      <c r="A531">
        <v>530</v>
      </c>
      <c r="B531" s="3" t="s">
        <v>357</v>
      </c>
      <c r="C531" s="3" t="s">
        <v>736</v>
      </c>
      <c r="D531" s="3" t="s">
        <v>1439</v>
      </c>
      <c r="E531" s="3" t="s">
        <v>32</v>
      </c>
      <c r="F531" s="1">
        <v>43582</v>
      </c>
      <c r="G531">
        <v>7</v>
      </c>
      <c r="H531" s="3" t="s">
        <v>907</v>
      </c>
      <c r="I531" s="3" t="s">
        <v>41</v>
      </c>
      <c r="J531" s="3" t="s">
        <v>18</v>
      </c>
      <c r="K531" s="3" t="s">
        <v>42</v>
      </c>
      <c r="L531">
        <v>1112</v>
      </c>
      <c r="M531" s="3" t="s">
        <v>909</v>
      </c>
      <c r="N531">
        <v>13344</v>
      </c>
      <c r="O531">
        <v>1906.2857142857142</v>
      </c>
      <c r="P531">
        <v>5</v>
      </c>
      <c r="Q531" s="3" t="s">
        <v>913</v>
      </c>
      <c r="R531">
        <v>1</v>
      </c>
      <c r="S531">
        <v>6</v>
      </c>
      <c r="T531" s="3" t="s">
        <v>913</v>
      </c>
      <c r="U531">
        <v>40</v>
      </c>
      <c r="V531" s="3" t="s">
        <v>910</v>
      </c>
    </row>
    <row r="532" spans="1:22" x14ac:dyDescent="0.3">
      <c r="A532">
        <v>531</v>
      </c>
      <c r="B532" s="3" t="s">
        <v>86</v>
      </c>
      <c r="C532" s="3" t="s">
        <v>737</v>
      </c>
      <c r="D532" s="3" t="s">
        <v>1440</v>
      </c>
      <c r="E532" s="3" t="s">
        <v>32</v>
      </c>
      <c r="F532" s="1">
        <v>43944</v>
      </c>
      <c r="G532">
        <v>6</v>
      </c>
      <c r="H532" s="3" t="s">
        <v>912</v>
      </c>
      <c r="I532" s="3" t="s">
        <v>58</v>
      </c>
      <c r="J532" s="3" t="s">
        <v>18</v>
      </c>
      <c r="K532" s="3" t="s">
        <v>19</v>
      </c>
      <c r="L532">
        <v>1928</v>
      </c>
      <c r="M532" s="3" t="s">
        <v>908</v>
      </c>
      <c r="N532">
        <v>23136</v>
      </c>
      <c r="O532">
        <v>3856</v>
      </c>
      <c r="P532">
        <v>4.5</v>
      </c>
      <c r="Q532" s="3" t="s">
        <v>913</v>
      </c>
      <c r="R532">
        <v>6</v>
      </c>
      <c r="S532">
        <v>0</v>
      </c>
      <c r="T532" s="3" t="s">
        <v>908</v>
      </c>
      <c r="U532">
        <v>1</v>
      </c>
      <c r="V532" s="3" t="s">
        <v>917</v>
      </c>
    </row>
    <row r="533" spans="1:22" x14ac:dyDescent="0.3">
      <c r="A533">
        <v>532</v>
      </c>
      <c r="B533" s="3" t="s">
        <v>699</v>
      </c>
      <c r="C533" s="3" t="s">
        <v>80</v>
      </c>
      <c r="D533" s="3" t="s">
        <v>1441</v>
      </c>
      <c r="E533" s="3" t="s">
        <v>307</v>
      </c>
      <c r="F533" s="1">
        <v>43410</v>
      </c>
      <c r="G533">
        <v>7</v>
      </c>
      <c r="H533" s="3" t="s">
        <v>907</v>
      </c>
      <c r="I533" s="3" t="s">
        <v>53</v>
      </c>
      <c r="J533" s="3" t="s">
        <v>22</v>
      </c>
      <c r="K533" s="3" t="s">
        <v>19</v>
      </c>
      <c r="L533">
        <v>3300</v>
      </c>
      <c r="M533" s="3" t="s">
        <v>913</v>
      </c>
      <c r="N533">
        <v>39600</v>
      </c>
      <c r="O533">
        <v>5657.1428571428569</v>
      </c>
      <c r="P533">
        <v>5</v>
      </c>
      <c r="Q533" s="3" t="s">
        <v>913</v>
      </c>
      <c r="R533">
        <v>0</v>
      </c>
      <c r="S533">
        <v>0</v>
      </c>
      <c r="T533" s="3" t="s">
        <v>916</v>
      </c>
      <c r="U533">
        <v>4</v>
      </c>
      <c r="V533" s="3" t="s">
        <v>917</v>
      </c>
    </row>
    <row r="534" spans="1:22" x14ac:dyDescent="0.3">
      <c r="A534">
        <v>533</v>
      </c>
      <c r="B534" s="3" t="s">
        <v>69</v>
      </c>
      <c r="C534" s="3" t="s">
        <v>738</v>
      </c>
      <c r="D534" s="3" t="s">
        <v>1442</v>
      </c>
      <c r="E534" s="3" t="s">
        <v>32</v>
      </c>
      <c r="F534" s="1">
        <v>44027</v>
      </c>
      <c r="G534">
        <v>6</v>
      </c>
      <c r="H534" s="3" t="s">
        <v>912</v>
      </c>
      <c r="I534" s="3" t="s">
        <v>58</v>
      </c>
      <c r="J534" s="3" t="s">
        <v>18</v>
      </c>
      <c r="K534" s="3" t="s">
        <v>36</v>
      </c>
      <c r="L534">
        <v>2378</v>
      </c>
      <c r="M534" s="3" t="s">
        <v>908</v>
      </c>
      <c r="N534">
        <v>28536</v>
      </c>
      <c r="O534">
        <v>4756</v>
      </c>
      <c r="P534">
        <v>5</v>
      </c>
      <c r="Q534" s="3" t="s">
        <v>913</v>
      </c>
      <c r="R534">
        <v>0</v>
      </c>
      <c r="S534">
        <v>0</v>
      </c>
      <c r="T534" s="3" t="s">
        <v>916</v>
      </c>
      <c r="U534">
        <v>5</v>
      </c>
      <c r="V534" s="3" t="s">
        <v>917</v>
      </c>
    </row>
    <row r="535" spans="1:22" x14ac:dyDescent="0.3">
      <c r="A535">
        <v>534</v>
      </c>
      <c r="B535" s="3" t="s">
        <v>33</v>
      </c>
      <c r="C535" s="3" t="s">
        <v>739</v>
      </c>
      <c r="D535" s="3" t="s">
        <v>1443</v>
      </c>
      <c r="E535" s="3" t="s">
        <v>32</v>
      </c>
      <c r="F535" s="1">
        <v>42547</v>
      </c>
      <c r="G535">
        <v>10</v>
      </c>
      <c r="H535" s="3" t="s">
        <v>920</v>
      </c>
      <c r="I535" s="3" t="s">
        <v>17</v>
      </c>
      <c r="J535" s="3" t="s">
        <v>29</v>
      </c>
      <c r="K535" s="3" t="s">
        <v>42</v>
      </c>
      <c r="L535">
        <v>3138</v>
      </c>
      <c r="M535" s="3" t="s">
        <v>913</v>
      </c>
      <c r="N535">
        <v>37656</v>
      </c>
      <c r="O535">
        <v>3765.6</v>
      </c>
      <c r="P535">
        <v>5</v>
      </c>
      <c r="Q535" s="3" t="s">
        <v>913</v>
      </c>
      <c r="R535">
        <v>0</v>
      </c>
      <c r="S535">
        <v>0</v>
      </c>
      <c r="T535" s="3" t="s">
        <v>916</v>
      </c>
      <c r="U535">
        <v>10</v>
      </c>
      <c r="V535" s="3" t="s">
        <v>917</v>
      </c>
    </row>
    <row r="536" spans="1:22" x14ac:dyDescent="0.3">
      <c r="A536">
        <v>535</v>
      </c>
      <c r="B536" s="3" t="s">
        <v>30</v>
      </c>
      <c r="C536" s="3" t="s">
        <v>740</v>
      </c>
      <c r="D536" s="3" t="s">
        <v>1444</v>
      </c>
      <c r="E536" s="3" t="s">
        <v>32</v>
      </c>
      <c r="F536" s="1">
        <v>42945</v>
      </c>
      <c r="G536">
        <v>9</v>
      </c>
      <c r="H536" s="3" t="s">
        <v>920</v>
      </c>
      <c r="I536" s="3" t="s">
        <v>28</v>
      </c>
      <c r="J536" s="3" t="s">
        <v>29</v>
      </c>
      <c r="K536" s="3" t="s">
        <v>42</v>
      </c>
      <c r="L536">
        <v>1981</v>
      </c>
      <c r="M536" s="3" t="s">
        <v>908</v>
      </c>
      <c r="N536">
        <v>23772</v>
      </c>
      <c r="O536">
        <v>2641.3333333333335</v>
      </c>
      <c r="P536">
        <v>5</v>
      </c>
      <c r="Q536" s="3" t="s">
        <v>913</v>
      </c>
      <c r="R536">
        <v>1</v>
      </c>
      <c r="S536">
        <v>0</v>
      </c>
      <c r="T536" s="3" t="s">
        <v>909</v>
      </c>
      <c r="U536">
        <v>3</v>
      </c>
      <c r="V536" s="3" t="s">
        <v>917</v>
      </c>
    </row>
    <row r="537" spans="1:22" x14ac:dyDescent="0.3">
      <c r="A537">
        <v>536</v>
      </c>
      <c r="B537" s="3" t="s">
        <v>563</v>
      </c>
      <c r="C537" s="3" t="s">
        <v>741</v>
      </c>
      <c r="D537" s="3" t="s">
        <v>1445</v>
      </c>
      <c r="E537" s="3" t="s">
        <v>307</v>
      </c>
      <c r="F537" s="1">
        <v>43265</v>
      </c>
      <c r="G537">
        <v>8</v>
      </c>
      <c r="H537" s="3" t="s">
        <v>907</v>
      </c>
      <c r="I537" s="3" t="s">
        <v>28</v>
      </c>
      <c r="J537" s="3" t="s">
        <v>22</v>
      </c>
      <c r="K537" s="3" t="s">
        <v>36</v>
      </c>
      <c r="L537">
        <v>1056</v>
      </c>
      <c r="M537" s="3" t="s">
        <v>909</v>
      </c>
      <c r="N537">
        <v>12672</v>
      </c>
      <c r="O537">
        <v>1584</v>
      </c>
      <c r="P537">
        <v>3</v>
      </c>
      <c r="Q537" s="3" t="s">
        <v>908</v>
      </c>
      <c r="R537">
        <v>0</v>
      </c>
      <c r="S537">
        <v>0</v>
      </c>
      <c r="T537" s="3" t="s">
        <v>916</v>
      </c>
      <c r="U537">
        <v>94</v>
      </c>
      <c r="V537" s="3" t="s">
        <v>910</v>
      </c>
    </row>
    <row r="538" spans="1:22" x14ac:dyDescent="0.3">
      <c r="A538">
        <v>537</v>
      </c>
      <c r="B538" s="3" t="s">
        <v>33</v>
      </c>
      <c r="C538" s="3" t="s">
        <v>742</v>
      </c>
      <c r="D538" s="3" t="s">
        <v>1446</v>
      </c>
      <c r="E538" s="3" t="s">
        <v>32</v>
      </c>
      <c r="F538" s="1">
        <v>43830</v>
      </c>
      <c r="G538">
        <v>6</v>
      </c>
      <c r="H538" s="3" t="s">
        <v>912</v>
      </c>
      <c r="I538" s="3" t="s">
        <v>53</v>
      </c>
      <c r="J538" s="3" t="s">
        <v>18</v>
      </c>
      <c r="K538" s="3" t="s">
        <v>898</v>
      </c>
      <c r="L538">
        <v>3295</v>
      </c>
      <c r="M538" s="3" t="s">
        <v>913</v>
      </c>
      <c r="N538">
        <v>39540</v>
      </c>
      <c r="O538">
        <v>6590</v>
      </c>
      <c r="P538">
        <v>5</v>
      </c>
      <c r="Q538" s="3" t="s">
        <v>913</v>
      </c>
      <c r="R538">
        <v>0</v>
      </c>
      <c r="S538">
        <v>0</v>
      </c>
      <c r="T538" s="3" t="s">
        <v>916</v>
      </c>
      <c r="U538">
        <v>2</v>
      </c>
      <c r="V538" s="3" t="s">
        <v>917</v>
      </c>
    </row>
    <row r="539" spans="1:22" x14ac:dyDescent="0.3">
      <c r="A539">
        <v>538</v>
      </c>
      <c r="B539" s="3" t="s">
        <v>743</v>
      </c>
      <c r="C539" s="3" t="s">
        <v>744</v>
      </c>
      <c r="D539" s="3" t="s">
        <v>1447</v>
      </c>
      <c r="E539" s="3" t="s">
        <v>32</v>
      </c>
      <c r="F539" s="1">
        <v>43746</v>
      </c>
      <c r="G539">
        <v>6</v>
      </c>
      <c r="H539" s="3" t="s">
        <v>912</v>
      </c>
      <c r="I539" s="3" t="s">
        <v>53</v>
      </c>
      <c r="J539" s="3" t="s">
        <v>18</v>
      </c>
      <c r="K539" s="3" t="s">
        <v>36</v>
      </c>
      <c r="L539">
        <v>1022</v>
      </c>
      <c r="M539" s="3" t="s">
        <v>909</v>
      </c>
      <c r="N539">
        <v>12264</v>
      </c>
      <c r="O539">
        <v>2044</v>
      </c>
      <c r="P539">
        <v>4.5</v>
      </c>
      <c r="Q539" s="3" t="s">
        <v>913</v>
      </c>
      <c r="R539">
        <v>1</v>
      </c>
      <c r="S539">
        <v>0</v>
      </c>
      <c r="T539" s="3" t="s">
        <v>909</v>
      </c>
      <c r="U539">
        <v>2</v>
      </c>
      <c r="V539" s="3" t="s">
        <v>917</v>
      </c>
    </row>
    <row r="540" spans="1:22" x14ac:dyDescent="0.3">
      <c r="A540">
        <v>539</v>
      </c>
      <c r="B540" s="3" t="s">
        <v>71</v>
      </c>
      <c r="C540" s="3" t="s">
        <v>745</v>
      </c>
      <c r="D540" s="3" t="s">
        <v>1448</v>
      </c>
      <c r="E540" s="3" t="s">
        <v>32</v>
      </c>
      <c r="F540" s="1">
        <v>44125</v>
      </c>
      <c r="G540">
        <v>5</v>
      </c>
      <c r="H540" s="3" t="s">
        <v>912</v>
      </c>
      <c r="I540" s="3" t="s">
        <v>45</v>
      </c>
      <c r="J540" s="3" t="s">
        <v>29</v>
      </c>
      <c r="K540" s="3" t="s">
        <v>42</v>
      </c>
      <c r="L540">
        <v>969</v>
      </c>
      <c r="M540" s="3" t="s">
        <v>909</v>
      </c>
      <c r="N540">
        <v>11628</v>
      </c>
      <c r="O540">
        <v>2325.6</v>
      </c>
      <c r="P540">
        <v>3</v>
      </c>
      <c r="Q540" s="3" t="s">
        <v>908</v>
      </c>
      <c r="R540">
        <v>1</v>
      </c>
      <c r="S540">
        <v>0</v>
      </c>
      <c r="T540" s="3" t="s">
        <v>909</v>
      </c>
      <c r="U540">
        <v>0</v>
      </c>
      <c r="V540" s="3" t="s">
        <v>955</v>
      </c>
    </row>
    <row r="541" spans="1:22" x14ac:dyDescent="0.3">
      <c r="A541">
        <v>540</v>
      </c>
      <c r="B541" s="3" t="s">
        <v>30</v>
      </c>
      <c r="C541" s="3" t="s">
        <v>746</v>
      </c>
      <c r="D541" s="3" t="s">
        <v>1449</v>
      </c>
      <c r="E541" s="3" t="s">
        <v>32</v>
      </c>
      <c r="F541" s="1">
        <v>43568</v>
      </c>
      <c r="G541">
        <v>7</v>
      </c>
      <c r="H541" s="3" t="s">
        <v>907</v>
      </c>
      <c r="I541" s="3" t="s">
        <v>93</v>
      </c>
      <c r="J541" s="3" t="s">
        <v>18</v>
      </c>
      <c r="K541" s="3" t="s">
        <v>36</v>
      </c>
      <c r="L541">
        <v>3354</v>
      </c>
      <c r="M541" s="3" t="s">
        <v>913</v>
      </c>
      <c r="N541">
        <v>40248</v>
      </c>
      <c r="O541">
        <v>5749.7142857142853</v>
      </c>
      <c r="P541">
        <v>4.5</v>
      </c>
      <c r="Q541" s="3" t="s">
        <v>913</v>
      </c>
      <c r="R541">
        <v>3</v>
      </c>
      <c r="S541">
        <v>0</v>
      </c>
      <c r="T541" s="3" t="s">
        <v>909</v>
      </c>
      <c r="U541">
        <v>1</v>
      </c>
      <c r="V541" s="3" t="s">
        <v>917</v>
      </c>
    </row>
    <row r="542" spans="1:22" x14ac:dyDescent="0.3">
      <c r="A542">
        <v>541</v>
      </c>
      <c r="B542" s="3" t="s">
        <v>747</v>
      </c>
      <c r="C542" s="3" t="s">
        <v>288</v>
      </c>
      <c r="D542" s="3" t="s">
        <v>1450</v>
      </c>
      <c r="E542" s="3" t="s">
        <v>32</v>
      </c>
      <c r="F542" s="1">
        <v>43851</v>
      </c>
      <c r="G542">
        <v>6</v>
      </c>
      <c r="H542" s="3" t="s">
        <v>912</v>
      </c>
      <c r="I542" s="3" t="s">
        <v>17</v>
      </c>
      <c r="J542" s="3" t="s">
        <v>18</v>
      </c>
      <c r="K542" s="3" t="s">
        <v>36</v>
      </c>
      <c r="L542">
        <v>2123</v>
      </c>
      <c r="M542" s="3" t="s">
        <v>908</v>
      </c>
      <c r="N542">
        <v>25476</v>
      </c>
      <c r="O542">
        <v>4246</v>
      </c>
      <c r="P542">
        <v>5</v>
      </c>
      <c r="Q542" s="3" t="s">
        <v>913</v>
      </c>
      <c r="R542">
        <v>0</v>
      </c>
      <c r="S542">
        <v>0</v>
      </c>
      <c r="T542" s="3" t="s">
        <v>916</v>
      </c>
      <c r="U542">
        <v>15</v>
      </c>
      <c r="V542" s="3" t="s">
        <v>910</v>
      </c>
    </row>
    <row r="543" spans="1:22" x14ac:dyDescent="0.3">
      <c r="A543">
        <v>542</v>
      </c>
      <c r="B543" s="3" t="s">
        <v>330</v>
      </c>
      <c r="C543" s="3" t="s">
        <v>576</v>
      </c>
      <c r="D543" s="3" t="s">
        <v>1451</v>
      </c>
      <c r="E543" s="3" t="s">
        <v>307</v>
      </c>
      <c r="F543" s="1">
        <v>43728</v>
      </c>
      <c r="G543">
        <v>6</v>
      </c>
      <c r="H543" s="3" t="s">
        <v>912</v>
      </c>
      <c r="I543" s="3" t="s">
        <v>53</v>
      </c>
      <c r="J543" s="3" t="s">
        <v>18</v>
      </c>
      <c r="K543" s="3" t="s">
        <v>19</v>
      </c>
      <c r="L543">
        <v>897</v>
      </c>
      <c r="M543" s="3" t="s">
        <v>909</v>
      </c>
      <c r="N543">
        <v>10764</v>
      </c>
      <c r="O543">
        <v>1794</v>
      </c>
      <c r="P543">
        <v>3</v>
      </c>
      <c r="Q543" s="3" t="s">
        <v>908</v>
      </c>
      <c r="R543">
        <v>2</v>
      </c>
      <c r="S543">
        <v>0</v>
      </c>
      <c r="T543" s="3" t="s">
        <v>909</v>
      </c>
      <c r="U543">
        <v>11</v>
      </c>
      <c r="V543" s="3" t="s">
        <v>910</v>
      </c>
    </row>
    <row r="544" spans="1:22" x14ac:dyDescent="0.3">
      <c r="A544">
        <v>543</v>
      </c>
      <c r="B544" s="3" t="s">
        <v>33</v>
      </c>
      <c r="C544" s="3" t="s">
        <v>302</v>
      </c>
      <c r="D544" s="3" t="s">
        <v>1084</v>
      </c>
      <c r="E544" s="3" t="s">
        <v>32</v>
      </c>
      <c r="F544" s="1">
        <v>43207</v>
      </c>
      <c r="G544">
        <v>8</v>
      </c>
      <c r="H544" s="3" t="s">
        <v>907</v>
      </c>
      <c r="I544" s="3" t="s">
        <v>17</v>
      </c>
      <c r="J544" s="3" t="s">
        <v>22</v>
      </c>
      <c r="K544" s="3" t="s">
        <v>42</v>
      </c>
      <c r="L544">
        <v>2925</v>
      </c>
      <c r="M544" s="3" t="s">
        <v>913</v>
      </c>
      <c r="N544">
        <v>35100</v>
      </c>
      <c r="O544">
        <v>4387.5</v>
      </c>
      <c r="P544">
        <v>3</v>
      </c>
      <c r="Q544" s="3" t="s">
        <v>908</v>
      </c>
      <c r="R544">
        <v>3</v>
      </c>
      <c r="S544">
        <v>0</v>
      </c>
      <c r="T544" s="3" t="s">
        <v>909</v>
      </c>
      <c r="U544">
        <v>14</v>
      </c>
      <c r="V544" s="3" t="s">
        <v>910</v>
      </c>
    </row>
    <row r="545" spans="1:22" x14ac:dyDescent="0.3">
      <c r="A545">
        <v>544</v>
      </c>
      <c r="B545" s="3" t="s">
        <v>303</v>
      </c>
      <c r="C545" s="3" t="s">
        <v>748</v>
      </c>
      <c r="D545" s="3" t="s">
        <v>1452</v>
      </c>
      <c r="E545" s="3" t="s">
        <v>307</v>
      </c>
      <c r="F545" s="1">
        <v>43348</v>
      </c>
      <c r="G545">
        <v>7</v>
      </c>
      <c r="H545" s="3" t="s">
        <v>907</v>
      </c>
      <c r="I545" s="3" t="s">
        <v>17</v>
      </c>
      <c r="J545" s="3" t="s">
        <v>18</v>
      </c>
      <c r="K545" s="3" t="s">
        <v>42</v>
      </c>
      <c r="L545">
        <v>1895</v>
      </c>
      <c r="M545" s="3" t="s">
        <v>908</v>
      </c>
      <c r="N545">
        <v>22740</v>
      </c>
      <c r="O545">
        <v>3248.5714285714284</v>
      </c>
      <c r="P545">
        <v>2</v>
      </c>
      <c r="Q545" s="3" t="s">
        <v>909</v>
      </c>
      <c r="R545">
        <v>0</v>
      </c>
      <c r="S545">
        <v>5</v>
      </c>
      <c r="T545" s="3" t="s">
        <v>908</v>
      </c>
      <c r="U545">
        <v>81</v>
      </c>
      <c r="V545" s="3" t="s">
        <v>910</v>
      </c>
    </row>
    <row r="546" spans="1:22" x14ac:dyDescent="0.3">
      <c r="A546">
        <v>545</v>
      </c>
      <c r="B546" s="3" t="s">
        <v>33</v>
      </c>
      <c r="C546" s="3" t="s">
        <v>125</v>
      </c>
      <c r="D546" s="3" t="s">
        <v>1015</v>
      </c>
      <c r="E546" s="3" t="s">
        <v>32</v>
      </c>
      <c r="F546" s="1">
        <v>42409</v>
      </c>
      <c r="G546">
        <v>10</v>
      </c>
      <c r="H546" s="3" t="s">
        <v>920</v>
      </c>
      <c r="I546" s="3" t="s">
        <v>163</v>
      </c>
      <c r="J546" s="3" t="s">
        <v>18</v>
      </c>
      <c r="K546" s="3" t="s">
        <v>19</v>
      </c>
      <c r="L546">
        <v>2191</v>
      </c>
      <c r="M546" s="3" t="s">
        <v>908</v>
      </c>
      <c r="N546">
        <v>26292</v>
      </c>
      <c r="O546">
        <v>2629.2</v>
      </c>
      <c r="P546">
        <v>5</v>
      </c>
      <c r="Q546" s="3" t="s">
        <v>913</v>
      </c>
      <c r="R546">
        <v>2</v>
      </c>
      <c r="S546">
        <v>0</v>
      </c>
      <c r="T546" s="3" t="s">
        <v>909</v>
      </c>
      <c r="U546">
        <v>7</v>
      </c>
      <c r="V546" s="3" t="s">
        <v>917</v>
      </c>
    </row>
    <row r="547" spans="1:22" x14ac:dyDescent="0.3">
      <c r="A547">
        <v>546</v>
      </c>
      <c r="B547" s="3" t="s">
        <v>749</v>
      </c>
      <c r="C547" s="3" t="s">
        <v>372</v>
      </c>
      <c r="D547" s="3" t="s">
        <v>1453</v>
      </c>
      <c r="E547" s="3" t="s">
        <v>307</v>
      </c>
      <c r="F547" s="1">
        <v>43890</v>
      </c>
      <c r="G547">
        <v>6</v>
      </c>
      <c r="H547" s="3" t="s">
        <v>912</v>
      </c>
      <c r="I547" s="3" t="s">
        <v>144</v>
      </c>
      <c r="J547" s="3" t="s">
        <v>18</v>
      </c>
      <c r="K547" s="3" t="s">
        <v>36</v>
      </c>
      <c r="L547">
        <v>3130</v>
      </c>
      <c r="M547" s="3" t="s">
        <v>913</v>
      </c>
      <c r="N547">
        <v>37560</v>
      </c>
      <c r="O547">
        <v>6260</v>
      </c>
      <c r="P547">
        <v>3</v>
      </c>
      <c r="Q547" s="3" t="s">
        <v>908</v>
      </c>
      <c r="R547">
        <v>0</v>
      </c>
      <c r="S547">
        <v>0</v>
      </c>
      <c r="T547" s="3" t="s">
        <v>916</v>
      </c>
      <c r="U547">
        <v>5</v>
      </c>
      <c r="V547" s="3" t="s">
        <v>917</v>
      </c>
    </row>
    <row r="548" spans="1:22" x14ac:dyDescent="0.3">
      <c r="A548">
        <v>547</v>
      </c>
      <c r="B548" s="3" t="s">
        <v>750</v>
      </c>
      <c r="C548" s="3" t="s">
        <v>751</v>
      </c>
      <c r="D548" s="3" t="s">
        <v>1454</v>
      </c>
      <c r="E548" s="3" t="s">
        <v>307</v>
      </c>
      <c r="F548" s="1">
        <v>42695</v>
      </c>
      <c r="G548">
        <v>9</v>
      </c>
      <c r="H548" s="3" t="s">
        <v>920</v>
      </c>
      <c r="I548" s="3" t="s">
        <v>35</v>
      </c>
      <c r="J548" s="3" t="s">
        <v>18</v>
      </c>
      <c r="K548" s="3" t="s">
        <v>19</v>
      </c>
      <c r="L548">
        <v>2654</v>
      </c>
      <c r="M548" s="3" t="s">
        <v>913</v>
      </c>
      <c r="N548">
        <v>31848</v>
      </c>
      <c r="O548">
        <v>3538.6666666666665</v>
      </c>
      <c r="P548">
        <v>3</v>
      </c>
      <c r="Q548" s="3" t="s">
        <v>908</v>
      </c>
      <c r="R548">
        <v>0</v>
      </c>
      <c r="S548">
        <v>1</v>
      </c>
      <c r="T548" s="3" t="s">
        <v>909</v>
      </c>
      <c r="U548">
        <v>7</v>
      </c>
      <c r="V548" s="3" t="s">
        <v>917</v>
      </c>
    </row>
    <row r="549" spans="1:22" x14ac:dyDescent="0.3">
      <c r="A549">
        <v>548</v>
      </c>
      <c r="B549" s="3" t="s">
        <v>33</v>
      </c>
      <c r="C549" s="3" t="s">
        <v>752</v>
      </c>
      <c r="D549" s="3" t="s">
        <v>1455</v>
      </c>
      <c r="E549" s="3" t="s">
        <v>32</v>
      </c>
      <c r="F549" s="1">
        <v>44192</v>
      </c>
      <c r="G549">
        <v>5</v>
      </c>
      <c r="H549" s="3" t="s">
        <v>912</v>
      </c>
      <c r="I549" s="3" t="s">
        <v>17</v>
      </c>
      <c r="J549" s="3" t="s">
        <v>22</v>
      </c>
      <c r="K549" s="3" t="s">
        <v>42</v>
      </c>
      <c r="L549">
        <v>859</v>
      </c>
      <c r="M549" s="3" t="s">
        <v>909</v>
      </c>
      <c r="N549">
        <v>10308</v>
      </c>
      <c r="O549">
        <v>2061.6</v>
      </c>
      <c r="P549">
        <v>5</v>
      </c>
      <c r="Q549" s="3" t="s">
        <v>913</v>
      </c>
      <c r="R549">
        <v>0</v>
      </c>
      <c r="S549">
        <v>1</v>
      </c>
      <c r="T549" s="3" t="s">
        <v>909</v>
      </c>
      <c r="U549">
        <v>5</v>
      </c>
      <c r="V549" s="3" t="s">
        <v>917</v>
      </c>
    </row>
    <row r="550" spans="1:22" x14ac:dyDescent="0.3">
      <c r="A550">
        <v>549</v>
      </c>
      <c r="B550" s="3" t="s">
        <v>753</v>
      </c>
      <c r="C550" s="3" t="s">
        <v>754</v>
      </c>
      <c r="D550" s="3" t="s">
        <v>1456</v>
      </c>
      <c r="E550" s="3" t="s">
        <v>32</v>
      </c>
      <c r="F550" s="1">
        <v>42537</v>
      </c>
      <c r="G550">
        <v>10</v>
      </c>
      <c r="H550" s="3" t="s">
        <v>920</v>
      </c>
      <c r="I550" s="3" t="s">
        <v>77</v>
      </c>
      <c r="J550" s="3" t="s">
        <v>18</v>
      </c>
      <c r="K550" s="3" t="s">
        <v>36</v>
      </c>
      <c r="L550">
        <v>1113</v>
      </c>
      <c r="M550" s="3" t="s">
        <v>909</v>
      </c>
      <c r="N550">
        <v>13356</v>
      </c>
      <c r="O550">
        <v>1335.6</v>
      </c>
      <c r="P550">
        <v>3</v>
      </c>
      <c r="Q550" s="3" t="s">
        <v>908</v>
      </c>
      <c r="R550">
        <v>4</v>
      </c>
      <c r="S550">
        <v>0</v>
      </c>
      <c r="T550" s="3" t="s">
        <v>908</v>
      </c>
      <c r="U550">
        <v>11</v>
      </c>
      <c r="V550" s="3" t="s">
        <v>910</v>
      </c>
    </row>
    <row r="551" spans="1:22" x14ac:dyDescent="0.3">
      <c r="A551">
        <v>550</v>
      </c>
      <c r="B551" s="3" t="s">
        <v>165</v>
      </c>
      <c r="C551" s="3" t="s">
        <v>707</v>
      </c>
      <c r="D551" s="3" t="s">
        <v>1457</v>
      </c>
      <c r="E551" s="3" t="s">
        <v>32</v>
      </c>
      <c r="F551" s="1">
        <v>43725</v>
      </c>
      <c r="G551">
        <v>6</v>
      </c>
      <c r="H551" s="3" t="s">
        <v>912</v>
      </c>
      <c r="I551" s="3" t="s">
        <v>41</v>
      </c>
      <c r="J551" s="3" t="s">
        <v>18</v>
      </c>
      <c r="K551" s="3" t="s">
        <v>60</v>
      </c>
      <c r="L551">
        <v>1234</v>
      </c>
      <c r="M551" s="3" t="s">
        <v>909</v>
      </c>
      <c r="N551">
        <v>14808</v>
      </c>
      <c r="O551">
        <v>2468</v>
      </c>
      <c r="P551">
        <v>5</v>
      </c>
      <c r="Q551" s="3" t="s">
        <v>913</v>
      </c>
      <c r="R551">
        <v>1</v>
      </c>
      <c r="S551">
        <v>5</v>
      </c>
      <c r="T551" s="3" t="s">
        <v>908</v>
      </c>
      <c r="U551">
        <v>10</v>
      </c>
      <c r="V551" s="3" t="s">
        <v>917</v>
      </c>
    </row>
    <row r="552" spans="1:22" x14ac:dyDescent="0.3">
      <c r="A552">
        <v>551</v>
      </c>
      <c r="B552" s="3" t="s">
        <v>622</v>
      </c>
      <c r="C552" s="3" t="s">
        <v>396</v>
      </c>
      <c r="D552" s="3" t="s">
        <v>1458</v>
      </c>
      <c r="E552" s="3" t="s">
        <v>32</v>
      </c>
      <c r="F552" s="1">
        <v>43815</v>
      </c>
      <c r="G552">
        <v>6</v>
      </c>
      <c r="H552" s="3" t="s">
        <v>912</v>
      </c>
      <c r="I552" s="3" t="s">
        <v>58</v>
      </c>
      <c r="J552" s="3" t="s">
        <v>18</v>
      </c>
      <c r="K552" s="3" t="s">
        <v>36</v>
      </c>
      <c r="L552">
        <v>2647</v>
      </c>
      <c r="M552" s="3" t="s">
        <v>913</v>
      </c>
      <c r="N552">
        <v>31764</v>
      </c>
      <c r="O552">
        <v>5294</v>
      </c>
      <c r="P552">
        <v>3</v>
      </c>
      <c r="Q552" s="3" t="s">
        <v>908</v>
      </c>
      <c r="R552">
        <v>4</v>
      </c>
      <c r="S552">
        <v>0</v>
      </c>
      <c r="T552" s="3" t="s">
        <v>908</v>
      </c>
      <c r="U552">
        <v>1</v>
      </c>
      <c r="V552" s="3" t="s">
        <v>917</v>
      </c>
    </row>
    <row r="553" spans="1:22" x14ac:dyDescent="0.3">
      <c r="A553">
        <v>552</v>
      </c>
      <c r="B553" s="3" t="s">
        <v>303</v>
      </c>
      <c r="C553" s="3" t="s">
        <v>755</v>
      </c>
      <c r="D553" s="3" t="s">
        <v>1459</v>
      </c>
      <c r="E553" s="3" t="s">
        <v>307</v>
      </c>
      <c r="F553" s="1">
        <v>42583</v>
      </c>
      <c r="G553">
        <v>10</v>
      </c>
      <c r="H553" s="3" t="s">
        <v>920</v>
      </c>
      <c r="I553" s="3" t="s">
        <v>45</v>
      </c>
      <c r="J553" s="3" t="s">
        <v>22</v>
      </c>
      <c r="K553" s="3" t="s">
        <v>36</v>
      </c>
      <c r="L553">
        <v>2200</v>
      </c>
      <c r="M553" s="3" t="s">
        <v>908</v>
      </c>
      <c r="N553">
        <v>26400</v>
      </c>
      <c r="O553">
        <v>2640</v>
      </c>
      <c r="P553">
        <v>1</v>
      </c>
      <c r="Q553" s="3" t="s">
        <v>909</v>
      </c>
      <c r="R553">
        <v>1</v>
      </c>
      <c r="S553">
        <v>0</v>
      </c>
      <c r="T553" s="3" t="s">
        <v>909</v>
      </c>
      <c r="U553">
        <v>6</v>
      </c>
      <c r="V553" s="3" t="s">
        <v>917</v>
      </c>
    </row>
    <row r="554" spans="1:22" x14ac:dyDescent="0.3">
      <c r="A554">
        <v>553</v>
      </c>
      <c r="B554" s="3" t="s">
        <v>229</v>
      </c>
      <c r="C554" s="3" t="s">
        <v>369</v>
      </c>
      <c r="D554" s="3" t="s">
        <v>1460</v>
      </c>
      <c r="E554" s="3" t="s">
        <v>307</v>
      </c>
      <c r="F554" s="1">
        <v>43183</v>
      </c>
      <c r="G554">
        <v>8</v>
      </c>
      <c r="H554" s="3" t="s">
        <v>907</v>
      </c>
      <c r="I554" s="3" t="s">
        <v>25</v>
      </c>
      <c r="J554" s="3" t="s">
        <v>18</v>
      </c>
      <c r="K554" s="3" t="s">
        <v>36</v>
      </c>
      <c r="L554">
        <v>2381</v>
      </c>
      <c r="M554" s="3" t="s">
        <v>908</v>
      </c>
      <c r="N554">
        <v>28572</v>
      </c>
      <c r="O554">
        <v>3571.5</v>
      </c>
      <c r="P554">
        <v>4.5</v>
      </c>
      <c r="Q554" s="3" t="s">
        <v>913</v>
      </c>
      <c r="R554">
        <v>2</v>
      </c>
      <c r="S554">
        <v>0</v>
      </c>
      <c r="T554" s="3" t="s">
        <v>909</v>
      </c>
      <c r="U554">
        <v>10</v>
      </c>
      <c r="V554" s="3" t="s">
        <v>917</v>
      </c>
    </row>
    <row r="555" spans="1:22" x14ac:dyDescent="0.3">
      <c r="A555">
        <v>554</v>
      </c>
      <c r="B555" s="3" t="s">
        <v>327</v>
      </c>
      <c r="C555" s="3" t="s">
        <v>756</v>
      </c>
      <c r="D555" s="3" t="s">
        <v>1461</v>
      </c>
      <c r="E555" s="3" t="s">
        <v>32</v>
      </c>
      <c r="F555" s="1">
        <v>43817</v>
      </c>
      <c r="G555">
        <v>6</v>
      </c>
      <c r="H555" s="3" t="s">
        <v>912</v>
      </c>
      <c r="I555" s="3" t="s">
        <v>41</v>
      </c>
      <c r="J555" s="3" t="s">
        <v>29</v>
      </c>
      <c r="K555" s="3" t="s">
        <v>42</v>
      </c>
      <c r="L555">
        <v>2329</v>
      </c>
      <c r="M555" s="3" t="s">
        <v>908</v>
      </c>
      <c r="N555">
        <v>27948</v>
      </c>
      <c r="O555">
        <v>4658</v>
      </c>
      <c r="P555">
        <v>2</v>
      </c>
      <c r="Q555" s="3" t="s">
        <v>909</v>
      </c>
      <c r="R555">
        <v>0</v>
      </c>
      <c r="S555">
        <v>0</v>
      </c>
      <c r="T555" s="3" t="s">
        <v>916</v>
      </c>
      <c r="U555">
        <v>5</v>
      </c>
      <c r="V555" s="3" t="s">
        <v>917</v>
      </c>
    </row>
    <row r="556" spans="1:22" x14ac:dyDescent="0.3">
      <c r="A556">
        <v>555</v>
      </c>
      <c r="B556" s="3" t="s">
        <v>302</v>
      </c>
      <c r="C556" s="3" t="s">
        <v>757</v>
      </c>
      <c r="D556" s="3" t="s">
        <v>1462</v>
      </c>
      <c r="E556" s="3" t="s">
        <v>32</v>
      </c>
      <c r="F556" s="1">
        <v>43676</v>
      </c>
      <c r="G556">
        <v>7</v>
      </c>
      <c r="H556" s="3" t="s">
        <v>907</v>
      </c>
      <c r="I556" s="3" t="s">
        <v>28</v>
      </c>
      <c r="J556" s="3" t="s">
        <v>18</v>
      </c>
      <c r="K556" s="3" t="s">
        <v>42</v>
      </c>
      <c r="L556">
        <v>1075</v>
      </c>
      <c r="M556" s="3" t="s">
        <v>909</v>
      </c>
      <c r="N556">
        <v>12900</v>
      </c>
      <c r="O556">
        <v>1842.8571428571429</v>
      </c>
      <c r="P556">
        <v>3</v>
      </c>
      <c r="Q556" s="3" t="s">
        <v>908</v>
      </c>
      <c r="R556">
        <v>0</v>
      </c>
      <c r="S556">
        <v>4</v>
      </c>
      <c r="T556" s="3" t="s">
        <v>908</v>
      </c>
      <c r="U556">
        <v>61</v>
      </c>
      <c r="V556" s="3" t="s">
        <v>910</v>
      </c>
    </row>
    <row r="557" spans="1:22" x14ac:dyDescent="0.3">
      <c r="A557">
        <v>556</v>
      </c>
      <c r="B557" s="3" t="s">
        <v>334</v>
      </c>
      <c r="C557" s="3" t="s">
        <v>758</v>
      </c>
      <c r="D557" s="3" t="s">
        <v>1463</v>
      </c>
      <c r="E557" s="3" t="s">
        <v>307</v>
      </c>
      <c r="F557" s="1">
        <v>43013</v>
      </c>
      <c r="G557">
        <v>8</v>
      </c>
      <c r="H557" s="3" t="s">
        <v>907</v>
      </c>
      <c r="I557" s="3" t="s">
        <v>58</v>
      </c>
      <c r="J557" s="3" t="s">
        <v>18</v>
      </c>
      <c r="K557" s="3" t="s">
        <v>42</v>
      </c>
      <c r="L557">
        <v>3110</v>
      </c>
      <c r="M557" s="3" t="s">
        <v>913</v>
      </c>
      <c r="N557">
        <v>37320</v>
      </c>
      <c r="O557">
        <v>4665</v>
      </c>
      <c r="P557">
        <v>1</v>
      </c>
      <c r="Q557" s="3" t="s">
        <v>909</v>
      </c>
      <c r="R557">
        <v>1</v>
      </c>
      <c r="S557">
        <v>4</v>
      </c>
      <c r="T557" s="3" t="s">
        <v>908</v>
      </c>
      <c r="U557">
        <v>1</v>
      </c>
      <c r="V557" s="3" t="s">
        <v>917</v>
      </c>
    </row>
    <row r="558" spans="1:22" x14ac:dyDescent="0.3">
      <c r="A558">
        <v>557</v>
      </c>
      <c r="B558" s="3" t="s">
        <v>460</v>
      </c>
      <c r="C558" s="3" t="s">
        <v>759</v>
      </c>
      <c r="D558" s="3" t="s">
        <v>1464</v>
      </c>
      <c r="E558" s="3" t="s">
        <v>32</v>
      </c>
      <c r="F558" s="1">
        <v>42878</v>
      </c>
      <c r="G558">
        <v>9</v>
      </c>
      <c r="H558" s="3" t="s">
        <v>920</v>
      </c>
      <c r="I558" s="3" t="s">
        <v>28</v>
      </c>
      <c r="J558" s="3" t="s">
        <v>18</v>
      </c>
      <c r="K558" s="3" t="s">
        <v>36</v>
      </c>
      <c r="L558">
        <v>2777</v>
      </c>
      <c r="M558" s="3" t="s">
        <v>913</v>
      </c>
      <c r="N558">
        <v>33324</v>
      </c>
      <c r="O558">
        <v>3702.6666666666665</v>
      </c>
      <c r="P558">
        <v>5</v>
      </c>
      <c r="Q558" s="3" t="s">
        <v>913</v>
      </c>
      <c r="R558">
        <v>0</v>
      </c>
      <c r="S558">
        <v>0</v>
      </c>
      <c r="T558" s="3" t="s">
        <v>916</v>
      </c>
      <c r="U558">
        <v>10</v>
      </c>
      <c r="V558" s="3" t="s">
        <v>917</v>
      </c>
    </row>
    <row r="559" spans="1:22" x14ac:dyDescent="0.3">
      <c r="A559">
        <v>558</v>
      </c>
      <c r="B559" s="3" t="s">
        <v>33</v>
      </c>
      <c r="C559" s="3" t="s">
        <v>760</v>
      </c>
      <c r="D559" s="3" t="s">
        <v>1465</v>
      </c>
      <c r="E559" s="3" t="s">
        <v>32</v>
      </c>
      <c r="F559" s="1">
        <v>43525</v>
      </c>
      <c r="G559">
        <v>7</v>
      </c>
      <c r="H559" s="3" t="s">
        <v>907</v>
      </c>
      <c r="I559" s="3" t="s">
        <v>76</v>
      </c>
      <c r="J559" s="3" t="s">
        <v>18</v>
      </c>
      <c r="K559" s="3" t="s">
        <v>19</v>
      </c>
      <c r="L559">
        <v>2306</v>
      </c>
      <c r="M559" s="3" t="s">
        <v>908</v>
      </c>
      <c r="N559">
        <v>27672</v>
      </c>
      <c r="O559">
        <v>3953.1428571428573</v>
      </c>
      <c r="P559">
        <v>2</v>
      </c>
      <c r="Q559" s="3" t="s">
        <v>909</v>
      </c>
      <c r="R559">
        <v>5</v>
      </c>
      <c r="S559">
        <v>5</v>
      </c>
      <c r="T559" s="3" t="s">
        <v>913</v>
      </c>
      <c r="U559">
        <v>11</v>
      </c>
      <c r="V559" s="3" t="s">
        <v>910</v>
      </c>
    </row>
    <row r="560" spans="1:22" x14ac:dyDescent="0.3">
      <c r="A560">
        <v>559</v>
      </c>
      <c r="B560" s="3" t="s">
        <v>206</v>
      </c>
      <c r="C560" s="3" t="s">
        <v>761</v>
      </c>
      <c r="D560" s="3" t="s">
        <v>1466</v>
      </c>
      <c r="E560" s="3" t="s">
        <v>307</v>
      </c>
      <c r="F560" s="1">
        <v>42722</v>
      </c>
      <c r="G560">
        <v>9</v>
      </c>
      <c r="H560" s="3" t="s">
        <v>920</v>
      </c>
      <c r="I560" s="3" t="s">
        <v>77</v>
      </c>
      <c r="J560" s="3" t="s">
        <v>18</v>
      </c>
      <c r="K560" s="3" t="s">
        <v>42</v>
      </c>
      <c r="L560">
        <v>1213</v>
      </c>
      <c r="M560" s="3" t="s">
        <v>909</v>
      </c>
      <c r="N560">
        <v>14556</v>
      </c>
      <c r="O560">
        <v>1617.3333333333333</v>
      </c>
      <c r="P560">
        <v>3</v>
      </c>
      <c r="Q560" s="3" t="s">
        <v>908</v>
      </c>
      <c r="R560">
        <v>0</v>
      </c>
      <c r="S560">
        <v>0</v>
      </c>
      <c r="T560" s="3" t="s">
        <v>916</v>
      </c>
      <c r="U560">
        <v>10</v>
      </c>
      <c r="V560" s="3" t="s">
        <v>917</v>
      </c>
    </row>
    <row r="561" spans="1:22" x14ac:dyDescent="0.3">
      <c r="A561">
        <v>560</v>
      </c>
      <c r="B561" s="3" t="s">
        <v>762</v>
      </c>
      <c r="C561" s="3" t="s">
        <v>763</v>
      </c>
      <c r="D561" s="3" t="s">
        <v>1467</v>
      </c>
      <c r="E561" s="3" t="s">
        <v>307</v>
      </c>
      <c r="F561" s="1">
        <v>43940</v>
      </c>
      <c r="G561">
        <v>6</v>
      </c>
      <c r="H561" s="3" t="s">
        <v>912</v>
      </c>
      <c r="I561" s="3" t="s">
        <v>77</v>
      </c>
      <c r="J561" s="3" t="s">
        <v>18</v>
      </c>
      <c r="K561" s="3" t="s">
        <v>60</v>
      </c>
      <c r="L561">
        <v>2680</v>
      </c>
      <c r="M561" s="3" t="s">
        <v>913</v>
      </c>
      <c r="N561">
        <v>32160</v>
      </c>
      <c r="O561">
        <v>5360</v>
      </c>
      <c r="P561">
        <v>4.5</v>
      </c>
      <c r="Q561" s="3" t="s">
        <v>913</v>
      </c>
      <c r="R561">
        <v>0</v>
      </c>
      <c r="S561">
        <v>0</v>
      </c>
      <c r="T561" s="3" t="s">
        <v>916</v>
      </c>
      <c r="U561">
        <v>1</v>
      </c>
      <c r="V561" s="3" t="s">
        <v>917</v>
      </c>
    </row>
    <row r="562" spans="1:22" x14ac:dyDescent="0.3">
      <c r="A562">
        <v>561</v>
      </c>
      <c r="B562" s="3" t="s">
        <v>764</v>
      </c>
      <c r="C562" s="3" t="s">
        <v>765</v>
      </c>
      <c r="D562" s="3" t="s">
        <v>1468</v>
      </c>
      <c r="E562" s="3" t="s">
        <v>307</v>
      </c>
      <c r="F562" s="1">
        <v>44152</v>
      </c>
      <c r="G562">
        <v>5</v>
      </c>
      <c r="H562" s="3" t="s">
        <v>912</v>
      </c>
      <c r="I562" s="3" t="s">
        <v>77</v>
      </c>
      <c r="J562" s="3" t="s">
        <v>18</v>
      </c>
      <c r="K562" s="3" t="s">
        <v>898</v>
      </c>
      <c r="L562">
        <v>2204</v>
      </c>
      <c r="M562" s="3" t="s">
        <v>908</v>
      </c>
      <c r="N562">
        <v>26448</v>
      </c>
      <c r="O562">
        <v>5289.6</v>
      </c>
      <c r="P562">
        <v>4.5</v>
      </c>
      <c r="Q562" s="3" t="s">
        <v>913</v>
      </c>
      <c r="R562">
        <v>1</v>
      </c>
      <c r="S562">
        <v>0</v>
      </c>
      <c r="T562" s="3" t="s">
        <v>909</v>
      </c>
      <c r="U562">
        <v>4</v>
      </c>
      <c r="V562" s="3" t="s">
        <v>917</v>
      </c>
    </row>
    <row r="563" spans="1:22" x14ac:dyDescent="0.3">
      <c r="A563">
        <v>562</v>
      </c>
      <c r="B563" s="3" t="s">
        <v>766</v>
      </c>
      <c r="C563" s="3" t="s">
        <v>767</v>
      </c>
      <c r="D563" s="3" t="s">
        <v>1469</v>
      </c>
      <c r="E563" s="3" t="s">
        <v>307</v>
      </c>
      <c r="F563" s="1">
        <v>43113</v>
      </c>
      <c r="G563">
        <v>8</v>
      </c>
      <c r="H563" s="3" t="s">
        <v>907</v>
      </c>
      <c r="I563" s="3" t="s">
        <v>28</v>
      </c>
      <c r="J563" s="3" t="s">
        <v>18</v>
      </c>
      <c r="K563" s="3" t="s">
        <v>42</v>
      </c>
      <c r="L563">
        <v>1297</v>
      </c>
      <c r="M563" s="3" t="s">
        <v>909</v>
      </c>
      <c r="N563">
        <v>15564</v>
      </c>
      <c r="O563">
        <v>1945.5</v>
      </c>
      <c r="P563">
        <v>2</v>
      </c>
      <c r="Q563" s="3" t="s">
        <v>909</v>
      </c>
      <c r="R563">
        <v>2</v>
      </c>
      <c r="S563">
        <v>0</v>
      </c>
      <c r="T563" s="3" t="s">
        <v>909</v>
      </c>
      <c r="U563">
        <v>8</v>
      </c>
      <c r="V563" s="3" t="s">
        <v>917</v>
      </c>
    </row>
    <row r="564" spans="1:22" x14ac:dyDescent="0.3">
      <c r="A564">
        <v>563</v>
      </c>
      <c r="B564" s="3" t="s">
        <v>506</v>
      </c>
      <c r="C564" s="3" t="s">
        <v>768</v>
      </c>
      <c r="D564" s="3" t="s">
        <v>1470</v>
      </c>
      <c r="E564" s="3" t="s">
        <v>32</v>
      </c>
      <c r="F564" s="1">
        <v>44179</v>
      </c>
      <c r="G564">
        <v>5</v>
      </c>
      <c r="H564" s="3" t="s">
        <v>912</v>
      </c>
      <c r="I564" s="3" t="s">
        <v>17</v>
      </c>
      <c r="J564" s="3" t="s">
        <v>18</v>
      </c>
      <c r="K564" s="3" t="s">
        <v>36</v>
      </c>
      <c r="L564">
        <v>3024</v>
      </c>
      <c r="M564" s="3" t="s">
        <v>913</v>
      </c>
      <c r="N564">
        <v>36288</v>
      </c>
      <c r="O564">
        <v>7257.6</v>
      </c>
      <c r="P564">
        <v>4.5</v>
      </c>
      <c r="Q564" s="3" t="s">
        <v>913</v>
      </c>
      <c r="R564">
        <v>6</v>
      </c>
      <c r="S564">
        <v>1</v>
      </c>
      <c r="T564" s="3" t="s">
        <v>913</v>
      </c>
      <c r="U564">
        <v>48</v>
      </c>
      <c r="V564" s="3" t="s">
        <v>910</v>
      </c>
    </row>
    <row r="565" spans="1:22" x14ac:dyDescent="0.3">
      <c r="A565">
        <v>564</v>
      </c>
      <c r="B565" s="3" t="s">
        <v>33</v>
      </c>
      <c r="C565" s="3" t="s">
        <v>769</v>
      </c>
      <c r="D565" s="3" t="s">
        <v>1471</v>
      </c>
      <c r="E565" s="3" t="s">
        <v>32</v>
      </c>
      <c r="F565" s="1">
        <v>43142</v>
      </c>
      <c r="G565">
        <v>8</v>
      </c>
      <c r="H565" s="3" t="s">
        <v>907</v>
      </c>
      <c r="I565" s="3" t="s">
        <v>118</v>
      </c>
      <c r="J565" s="3" t="s">
        <v>18</v>
      </c>
      <c r="K565" s="3" t="s">
        <v>42</v>
      </c>
      <c r="L565">
        <v>2228</v>
      </c>
      <c r="M565" s="3" t="s">
        <v>908</v>
      </c>
      <c r="N565">
        <v>26736</v>
      </c>
      <c r="O565">
        <v>3342</v>
      </c>
      <c r="P565">
        <v>5</v>
      </c>
      <c r="Q565" s="3" t="s">
        <v>913</v>
      </c>
      <c r="R565">
        <v>1</v>
      </c>
      <c r="S565">
        <v>0</v>
      </c>
      <c r="T565" s="3" t="s">
        <v>909</v>
      </c>
      <c r="U565">
        <v>78</v>
      </c>
      <c r="V565" s="3" t="s">
        <v>910</v>
      </c>
    </row>
    <row r="566" spans="1:22" x14ac:dyDescent="0.3">
      <c r="A566">
        <v>565</v>
      </c>
      <c r="B566" s="3" t="s">
        <v>770</v>
      </c>
      <c r="C566" s="3" t="s">
        <v>771</v>
      </c>
      <c r="D566" s="3" t="s">
        <v>1472</v>
      </c>
      <c r="E566" s="3" t="s">
        <v>32</v>
      </c>
      <c r="F566" s="1">
        <v>42377</v>
      </c>
      <c r="G566">
        <v>10</v>
      </c>
      <c r="H566" s="3" t="s">
        <v>920</v>
      </c>
      <c r="I566" s="3" t="s">
        <v>77</v>
      </c>
      <c r="J566" s="3" t="s">
        <v>18</v>
      </c>
      <c r="K566" s="3" t="s">
        <v>19</v>
      </c>
      <c r="L566">
        <v>2009</v>
      </c>
      <c r="M566" s="3" t="s">
        <v>908</v>
      </c>
      <c r="N566">
        <v>24108</v>
      </c>
      <c r="O566">
        <v>2410.8000000000002</v>
      </c>
      <c r="P566">
        <v>4.5</v>
      </c>
      <c r="Q566" s="3" t="s">
        <v>913</v>
      </c>
      <c r="R566">
        <v>6</v>
      </c>
      <c r="S566">
        <v>0</v>
      </c>
      <c r="T566" s="3" t="s">
        <v>908</v>
      </c>
      <c r="U566">
        <v>0</v>
      </c>
      <c r="V566" s="3" t="s">
        <v>955</v>
      </c>
    </row>
    <row r="567" spans="1:22" x14ac:dyDescent="0.3">
      <c r="A567">
        <v>566</v>
      </c>
      <c r="B567" s="3" t="s">
        <v>772</v>
      </c>
      <c r="C567" s="3" t="s">
        <v>773</v>
      </c>
      <c r="D567" s="3" t="s">
        <v>1473</v>
      </c>
      <c r="E567" s="3" t="s">
        <v>32</v>
      </c>
      <c r="F567" s="1">
        <v>44087</v>
      </c>
      <c r="G567">
        <v>5</v>
      </c>
      <c r="H567" s="3" t="s">
        <v>912</v>
      </c>
      <c r="I567" s="3" t="s">
        <v>41</v>
      </c>
      <c r="J567" s="3" t="s">
        <v>18</v>
      </c>
      <c r="K567" s="3" t="s">
        <v>36</v>
      </c>
      <c r="L567">
        <v>2573</v>
      </c>
      <c r="M567" s="3" t="s">
        <v>913</v>
      </c>
      <c r="N567">
        <v>30876</v>
      </c>
      <c r="O567">
        <v>6175.2</v>
      </c>
      <c r="P567">
        <v>5</v>
      </c>
      <c r="Q567" s="3" t="s">
        <v>913</v>
      </c>
      <c r="R567">
        <v>0</v>
      </c>
      <c r="S567">
        <v>0</v>
      </c>
      <c r="T567" s="3" t="s">
        <v>916</v>
      </c>
      <c r="U567">
        <v>28</v>
      </c>
      <c r="V567" s="3" t="s">
        <v>910</v>
      </c>
    </row>
    <row r="568" spans="1:22" x14ac:dyDescent="0.3">
      <c r="A568">
        <v>567</v>
      </c>
      <c r="B568" s="3" t="s">
        <v>774</v>
      </c>
      <c r="C568" s="3" t="s">
        <v>412</v>
      </c>
      <c r="D568" s="3" t="s">
        <v>1474</v>
      </c>
      <c r="E568" s="3" t="s">
        <v>32</v>
      </c>
      <c r="F568" s="1">
        <v>43194</v>
      </c>
      <c r="G568">
        <v>8</v>
      </c>
      <c r="H568" s="3" t="s">
        <v>907</v>
      </c>
      <c r="I568" s="3" t="s">
        <v>28</v>
      </c>
      <c r="J568" s="3" t="s">
        <v>18</v>
      </c>
      <c r="K568" s="3" t="s">
        <v>36</v>
      </c>
      <c r="L568">
        <v>1938</v>
      </c>
      <c r="M568" s="3" t="s">
        <v>908</v>
      </c>
      <c r="N568">
        <v>23256</v>
      </c>
      <c r="O568">
        <v>2907</v>
      </c>
      <c r="P568">
        <v>3</v>
      </c>
      <c r="Q568" s="3" t="s">
        <v>908</v>
      </c>
      <c r="R568">
        <v>0</v>
      </c>
      <c r="S568">
        <v>0</v>
      </c>
      <c r="T568" s="3" t="s">
        <v>916</v>
      </c>
      <c r="U568">
        <v>7</v>
      </c>
      <c r="V568" s="3" t="s">
        <v>917</v>
      </c>
    </row>
    <row r="569" spans="1:22" x14ac:dyDescent="0.3">
      <c r="A569">
        <v>568</v>
      </c>
      <c r="B569" s="3" t="s">
        <v>578</v>
      </c>
      <c r="C569" s="3" t="s">
        <v>775</v>
      </c>
      <c r="D569" s="3" t="s">
        <v>1475</v>
      </c>
      <c r="E569" s="3" t="s">
        <v>307</v>
      </c>
      <c r="F569" s="1">
        <v>43663</v>
      </c>
      <c r="G569">
        <v>7</v>
      </c>
      <c r="H569" s="3" t="s">
        <v>907</v>
      </c>
      <c r="I569" s="3" t="s">
        <v>41</v>
      </c>
      <c r="J569" s="3" t="s">
        <v>18</v>
      </c>
      <c r="K569" s="3" t="s">
        <v>42</v>
      </c>
      <c r="L569">
        <v>1208</v>
      </c>
      <c r="M569" s="3" t="s">
        <v>909</v>
      </c>
      <c r="N569">
        <v>14496</v>
      </c>
      <c r="O569">
        <v>2070.8571428571427</v>
      </c>
      <c r="P569">
        <v>5</v>
      </c>
      <c r="Q569" s="3" t="s">
        <v>913</v>
      </c>
      <c r="R569">
        <v>3</v>
      </c>
      <c r="S569">
        <v>0</v>
      </c>
      <c r="T569" s="3" t="s">
        <v>909</v>
      </c>
      <c r="U569">
        <v>10</v>
      </c>
      <c r="V569" s="3" t="s">
        <v>917</v>
      </c>
    </row>
    <row r="570" spans="1:22" x14ac:dyDescent="0.3">
      <c r="A570">
        <v>569</v>
      </c>
      <c r="B570" s="3" t="s">
        <v>776</v>
      </c>
      <c r="C570" s="3" t="s">
        <v>777</v>
      </c>
      <c r="D570" s="3" t="s">
        <v>1476</v>
      </c>
      <c r="E570" s="3" t="s">
        <v>32</v>
      </c>
      <c r="F570" s="1">
        <v>43663</v>
      </c>
      <c r="G570">
        <v>7</v>
      </c>
      <c r="H570" s="3" t="s">
        <v>907</v>
      </c>
      <c r="I570" s="3" t="s">
        <v>73</v>
      </c>
      <c r="J570" s="3" t="s">
        <v>48</v>
      </c>
      <c r="K570" s="3" t="s">
        <v>19</v>
      </c>
      <c r="L570">
        <v>2342</v>
      </c>
      <c r="M570" s="3" t="s">
        <v>908</v>
      </c>
      <c r="N570">
        <v>28104</v>
      </c>
      <c r="O570">
        <v>4014.8571428571427</v>
      </c>
      <c r="P570">
        <v>4.5</v>
      </c>
      <c r="Q570" s="3" t="s">
        <v>913</v>
      </c>
      <c r="R570">
        <v>5</v>
      </c>
      <c r="S570">
        <v>0</v>
      </c>
      <c r="T570" s="3" t="s">
        <v>908</v>
      </c>
      <c r="U570">
        <v>10</v>
      </c>
      <c r="V570" s="3" t="s">
        <v>917</v>
      </c>
    </row>
    <row r="571" spans="1:22" x14ac:dyDescent="0.3">
      <c r="A571">
        <v>570</v>
      </c>
      <c r="B571" s="3" t="s">
        <v>33</v>
      </c>
      <c r="C571" s="3" t="s">
        <v>179</v>
      </c>
      <c r="D571" s="3" t="s">
        <v>999</v>
      </c>
      <c r="E571" s="3" t="s">
        <v>32</v>
      </c>
      <c r="F571" s="1">
        <v>43950</v>
      </c>
      <c r="G571">
        <v>6</v>
      </c>
      <c r="H571" s="3" t="s">
        <v>912</v>
      </c>
      <c r="I571" s="3" t="s">
        <v>50</v>
      </c>
      <c r="J571" s="3" t="s">
        <v>18</v>
      </c>
      <c r="K571" s="3" t="s">
        <v>42</v>
      </c>
      <c r="L571">
        <v>3244</v>
      </c>
      <c r="M571" s="3" t="s">
        <v>913</v>
      </c>
      <c r="N571">
        <v>38928</v>
      </c>
      <c r="O571">
        <v>6488</v>
      </c>
      <c r="P571">
        <v>4.5</v>
      </c>
      <c r="Q571" s="3" t="s">
        <v>913</v>
      </c>
      <c r="R571">
        <v>0</v>
      </c>
      <c r="S571">
        <v>0</v>
      </c>
      <c r="T571" s="3" t="s">
        <v>916</v>
      </c>
      <c r="U571">
        <v>78</v>
      </c>
      <c r="V571" s="3" t="s">
        <v>910</v>
      </c>
    </row>
    <row r="572" spans="1:22" x14ac:dyDescent="0.3">
      <c r="A572">
        <v>571</v>
      </c>
      <c r="B572" s="3" t="s">
        <v>129</v>
      </c>
      <c r="C572" s="3" t="s">
        <v>778</v>
      </c>
      <c r="D572" s="3" t="s">
        <v>1477</v>
      </c>
      <c r="E572" s="3" t="s">
        <v>32</v>
      </c>
      <c r="F572" s="1">
        <v>42829</v>
      </c>
      <c r="G572">
        <v>9</v>
      </c>
      <c r="H572" s="3" t="s">
        <v>920</v>
      </c>
      <c r="I572" s="3" t="s">
        <v>41</v>
      </c>
      <c r="J572" s="3" t="s">
        <v>18</v>
      </c>
      <c r="K572" s="3" t="s">
        <v>36</v>
      </c>
      <c r="L572">
        <v>2613</v>
      </c>
      <c r="M572" s="3" t="s">
        <v>913</v>
      </c>
      <c r="N572">
        <v>31356</v>
      </c>
      <c r="O572">
        <v>3484</v>
      </c>
      <c r="P572">
        <v>4.5</v>
      </c>
      <c r="Q572" s="3" t="s">
        <v>913</v>
      </c>
      <c r="R572">
        <v>0</v>
      </c>
      <c r="S572">
        <v>1</v>
      </c>
      <c r="T572" s="3" t="s">
        <v>909</v>
      </c>
      <c r="U572">
        <v>5</v>
      </c>
      <c r="V572" s="3" t="s">
        <v>917</v>
      </c>
    </row>
    <row r="573" spans="1:22" x14ac:dyDescent="0.3">
      <c r="A573">
        <v>572</v>
      </c>
      <c r="B573" s="3" t="s">
        <v>33</v>
      </c>
      <c r="C573" s="3" t="s">
        <v>779</v>
      </c>
      <c r="D573" s="3" t="s">
        <v>1478</v>
      </c>
      <c r="E573" s="3" t="s">
        <v>32</v>
      </c>
      <c r="F573" s="1">
        <v>44184</v>
      </c>
      <c r="G573">
        <v>5</v>
      </c>
      <c r="H573" s="3" t="s">
        <v>912</v>
      </c>
      <c r="I573" s="3" t="s">
        <v>28</v>
      </c>
      <c r="J573" s="3" t="s">
        <v>22</v>
      </c>
      <c r="K573" s="3" t="s">
        <v>42</v>
      </c>
      <c r="L573">
        <v>2263</v>
      </c>
      <c r="M573" s="3" t="s">
        <v>908</v>
      </c>
      <c r="N573">
        <v>27156</v>
      </c>
      <c r="O573">
        <v>5431.2</v>
      </c>
      <c r="P573">
        <v>5</v>
      </c>
      <c r="Q573" s="3" t="s">
        <v>913</v>
      </c>
      <c r="R573">
        <v>0</v>
      </c>
      <c r="S573">
        <v>0</v>
      </c>
      <c r="T573" s="3" t="s">
        <v>916</v>
      </c>
      <c r="U573">
        <v>9</v>
      </c>
      <c r="V573" s="3" t="s">
        <v>917</v>
      </c>
    </row>
    <row r="574" spans="1:22" x14ac:dyDescent="0.3">
      <c r="A574">
        <v>573</v>
      </c>
      <c r="B574" s="3" t="s">
        <v>165</v>
      </c>
      <c r="C574" s="3" t="s">
        <v>698</v>
      </c>
      <c r="D574" s="3" t="s">
        <v>1479</v>
      </c>
      <c r="E574" s="3" t="s">
        <v>32</v>
      </c>
      <c r="F574" s="1">
        <v>42557</v>
      </c>
      <c r="G574">
        <v>10</v>
      </c>
      <c r="H574" s="3" t="s">
        <v>920</v>
      </c>
      <c r="I574" s="3" t="s">
        <v>41</v>
      </c>
      <c r="J574" s="3" t="s">
        <v>18</v>
      </c>
      <c r="K574" s="3" t="s">
        <v>898</v>
      </c>
      <c r="L574">
        <v>3157</v>
      </c>
      <c r="M574" s="3" t="s">
        <v>913</v>
      </c>
      <c r="N574">
        <v>37884</v>
      </c>
      <c r="O574">
        <v>3788.4</v>
      </c>
      <c r="P574">
        <v>5</v>
      </c>
      <c r="Q574" s="3" t="s">
        <v>913</v>
      </c>
      <c r="R574">
        <v>0</v>
      </c>
      <c r="S574">
        <v>0</v>
      </c>
      <c r="T574" s="3" t="s">
        <v>916</v>
      </c>
      <c r="U574">
        <v>1</v>
      </c>
      <c r="V574" s="3" t="s">
        <v>917</v>
      </c>
    </row>
    <row r="575" spans="1:22" x14ac:dyDescent="0.3">
      <c r="A575">
        <v>574</v>
      </c>
      <c r="B575" s="3" t="s">
        <v>33</v>
      </c>
      <c r="C575" s="3" t="s">
        <v>780</v>
      </c>
      <c r="D575" s="3" t="s">
        <v>1480</v>
      </c>
      <c r="E575" s="3" t="s">
        <v>32</v>
      </c>
      <c r="F575" s="1">
        <v>43166</v>
      </c>
      <c r="G575">
        <v>8</v>
      </c>
      <c r="H575" s="3" t="s">
        <v>907</v>
      </c>
      <c r="I575" s="3" t="s">
        <v>41</v>
      </c>
      <c r="J575" s="3" t="s">
        <v>48</v>
      </c>
      <c r="K575" s="3" t="s">
        <v>60</v>
      </c>
      <c r="L575">
        <v>2519</v>
      </c>
      <c r="M575" s="3" t="s">
        <v>913</v>
      </c>
      <c r="N575">
        <v>30228</v>
      </c>
      <c r="O575">
        <v>3778.5</v>
      </c>
      <c r="P575">
        <v>5</v>
      </c>
      <c r="Q575" s="3" t="s">
        <v>913</v>
      </c>
      <c r="R575">
        <v>2</v>
      </c>
      <c r="S575">
        <v>2</v>
      </c>
      <c r="T575" s="3" t="s">
        <v>908</v>
      </c>
      <c r="U575">
        <v>10</v>
      </c>
      <c r="V575" s="3" t="s">
        <v>917</v>
      </c>
    </row>
    <row r="576" spans="1:22" x14ac:dyDescent="0.3">
      <c r="A576">
        <v>575</v>
      </c>
      <c r="B576" s="3" t="s">
        <v>59</v>
      </c>
      <c r="C576" s="3" t="s">
        <v>781</v>
      </c>
      <c r="D576" s="3" t="s">
        <v>1481</v>
      </c>
      <c r="E576" s="3" t="s">
        <v>307</v>
      </c>
      <c r="F576" s="1">
        <v>43894</v>
      </c>
      <c r="G576">
        <v>6</v>
      </c>
      <c r="H576" s="3" t="s">
        <v>912</v>
      </c>
      <c r="I576" s="3" t="s">
        <v>50</v>
      </c>
      <c r="J576" s="3" t="s">
        <v>29</v>
      </c>
      <c r="K576" s="3" t="s">
        <v>19</v>
      </c>
      <c r="L576">
        <v>3019</v>
      </c>
      <c r="M576" s="3" t="s">
        <v>913</v>
      </c>
      <c r="N576">
        <v>36228</v>
      </c>
      <c r="O576">
        <v>6038</v>
      </c>
      <c r="P576">
        <v>4.5</v>
      </c>
      <c r="Q576" s="3" t="s">
        <v>913</v>
      </c>
      <c r="R576">
        <v>2</v>
      </c>
      <c r="S576">
        <v>0</v>
      </c>
      <c r="T576" s="3" t="s">
        <v>909</v>
      </c>
      <c r="U576">
        <v>15</v>
      </c>
      <c r="V576" s="3" t="s">
        <v>910</v>
      </c>
    </row>
    <row r="577" spans="1:22" x14ac:dyDescent="0.3">
      <c r="A577">
        <v>576</v>
      </c>
      <c r="B577" s="3" t="s">
        <v>782</v>
      </c>
      <c r="C577" s="3" t="s">
        <v>783</v>
      </c>
      <c r="D577" s="3" t="s">
        <v>1482</v>
      </c>
      <c r="E577" s="3" t="s">
        <v>307</v>
      </c>
      <c r="F577" s="1">
        <v>43577</v>
      </c>
      <c r="G577">
        <v>7</v>
      </c>
      <c r="H577" s="3" t="s">
        <v>907</v>
      </c>
      <c r="I577" s="3" t="s">
        <v>28</v>
      </c>
      <c r="J577" s="3" t="s">
        <v>29</v>
      </c>
      <c r="K577" s="3" t="s">
        <v>898</v>
      </c>
      <c r="L577">
        <v>3048</v>
      </c>
      <c r="M577" s="3" t="s">
        <v>913</v>
      </c>
      <c r="N577">
        <v>36576</v>
      </c>
      <c r="O577">
        <v>5225.1428571428569</v>
      </c>
      <c r="P577">
        <v>2</v>
      </c>
      <c r="Q577" s="3" t="s">
        <v>909</v>
      </c>
      <c r="R577">
        <v>3</v>
      </c>
      <c r="S577">
        <v>6</v>
      </c>
      <c r="T577" s="3" t="s">
        <v>913</v>
      </c>
      <c r="U577">
        <v>6</v>
      </c>
      <c r="V577" s="3" t="s">
        <v>917</v>
      </c>
    </row>
    <row r="578" spans="1:22" x14ac:dyDescent="0.3">
      <c r="A578">
        <v>577</v>
      </c>
      <c r="B578" s="3" t="s">
        <v>30</v>
      </c>
      <c r="C578" s="3" t="s">
        <v>784</v>
      </c>
      <c r="D578" s="3" t="s">
        <v>1483</v>
      </c>
      <c r="E578" s="3" t="s">
        <v>32</v>
      </c>
      <c r="F578" s="1">
        <v>43811</v>
      </c>
      <c r="G578">
        <v>6</v>
      </c>
      <c r="H578" s="3" t="s">
        <v>912</v>
      </c>
      <c r="I578" s="3" t="s">
        <v>28</v>
      </c>
      <c r="J578" s="3" t="s">
        <v>18</v>
      </c>
      <c r="K578" s="3" t="s">
        <v>19</v>
      </c>
      <c r="L578">
        <v>1523</v>
      </c>
      <c r="M578" s="3" t="s">
        <v>908</v>
      </c>
      <c r="N578">
        <v>18276</v>
      </c>
      <c r="O578">
        <v>3046</v>
      </c>
      <c r="P578">
        <v>4.5</v>
      </c>
      <c r="Q578" s="3" t="s">
        <v>913</v>
      </c>
      <c r="R578">
        <v>0</v>
      </c>
      <c r="S578">
        <v>4</v>
      </c>
      <c r="T578" s="3" t="s">
        <v>908</v>
      </c>
      <c r="U578">
        <v>2</v>
      </c>
      <c r="V578" s="3" t="s">
        <v>917</v>
      </c>
    </row>
    <row r="579" spans="1:22" x14ac:dyDescent="0.3">
      <c r="A579">
        <v>578</v>
      </c>
      <c r="B579" s="3" t="s">
        <v>785</v>
      </c>
      <c r="C579" s="3" t="s">
        <v>786</v>
      </c>
      <c r="D579" s="3" t="s">
        <v>1484</v>
      </c>
      <c r="E579" s="3" t="s">
        <v>32</v>
      </c>
      <c r="F579" s="1">
        <v>43505</v>
      </c>
      <c r="G579">
        <v>7</v>
      </c>
      <c r="H579" s="3" t="s">
        <v>907</v>
      </c>
      <c r="I579" s="3" t="s">
        <v>58</v>
      </c>
      <c r="J579" s="3" t="s">
        <v>18</v>
      </c>
      <c r="K579" s="3" t="s">
        <v>898</v>
      </c>
      <c r="L579">
        <v>2197</v>
      </c>
      <c r="M579" s="3" t="s">
        <v>908</v>
      </c>
      <c r="N579">
        <v>26364</v>
      </c>
      <c r="O579">
        <v>3766.2857142857142</v>
      </c>
      <c r="P579">
        <v>1</v>
      </c>
      <c r="Q579" s="3" t="s">
        <v>909</v>
      </c>
      <c r="R579">
        <v>1</v>
      </c>
      <c r="S579">
        <v>0</v>
      </c>
      <c r="T579" s="3" t="s">
        <v>909</v>
      </c>
      <c r="U579">
        <v>8</v>
      </c>
      <c r="V579" s="3" t="s">
        <v>917</v>
      </c>
    </row>
    <row r="580" spans="1:22" x14ac:dyDescent="0.3">
      <c r="A580">
        <v>579</v>
      </c>
      <c r="B580" s="3" t="s">
        <v>310</v>
      </c>
      <c r="C580" s="3" t="s">
        <v>787</v>
      </c>
      <c r="D580" s="3" t="s">
        <v>1485</v>
      </c>
      <c r="E580" s="3" t="s">
        <v>307</v>
      </c>
      <c r="F580" s="1">
        <v>43556</v>
      </c>
      <c r="G580">
        <v>7</v>
      </c>
      <c r="H580" s="3" t="s">
        <v>907</v>
      </c>
      <c r="I580" s="3" t="s">
        <v>35</v>
      </c>
      <c r="J580" s="3" t="s">
        <v>18</v>
      </c>
      <c r="K580" s="3" t="s">
        <v>42</v>
      </c>
      <c r="L580">
        <v>1870</v>
      </c>
      <c r="M580" s="3" t="s">
        <v>908</v>
      </c>
      <c r="N580">
        <v>22440</v>
      </c>
      <c r="O580">
        <v>3205.7142857142858</v>
      </c>
      <c r="P580">
        <v>4.5</v>
      </c>
      <c r="Q580" s="3" t="s">
        <v>913</v>
      </c>
      <c r="R580">
        <v>0</v>
      </c>
      <c r="S580">
        <v>3</v>
      </c>
      <c r="T580" s="3" t="s">
        <v>909</v>
      </c>
      <c r="U580">
        <v>15</v>
      </c>
      <c r="V580" s="3" t="s">
        <v>910</v>
      </c>
    </row>
    <row r="581" spans="1:22" x14ac:dyDescent="0.3">
      <c r="A581">
        <v>580</v>
      </c>
      <c r="B581" s="3" t="s">
        <v>33</v>
      </c>
      <c r="C581" s="3" t="s">
        <v>779</v>
      </c>
      <c r="D581" s="3" t="s">
        <v>1478</v>
      </c>
      <c r="E581" s="3" t="s">
        <v>32</v>
      </c>
      <c r="F581" s="1">
        <v>43176</v>
      </c>
      <c r="G581">
        <v>8</v>
      </c>
      <c r="H581" s="3" t="s">
        <v>907</v>
      </c>
      <c r="I581" s="3" t="s">
        <v>28</v>
      </c>
      <c r="J581" s="3" t="s">
        <v>29</v>
      </c>
      <c r="K581" s="3" t="s">
        <v>42</v>
      </c>
      <c r="L581">
        <v>1058</v>
      </c>
      <c r="M581" s="3" t="s">
        <v>909</v>
      </c>
      <c r="N581">
        <v>12696</v>
      </c>
      <c r="O581">
        <v>1587</v>
      </c>
      <c r="P581">
        <v>5</v>
      </c>
      <c r="Q581" s="3" t="s">
        <v>913</v>
      </c>
      <c r="R581">
        <v>0</v>
      </c>
      <c r="S581">
        <v>0</v>
      </c>
      <c r="T581" s="3" t="s">
        <v>916</v>
      </c>
      <c r="U581">
        <v>10</v>
      </c>
      <c r="V581" s="3" t="s">
        <v>917</v>
      </c>
    </row>
    <row r="582" spans="1:22" x14ac:dyDescent="0.3">
      <c r="A582">
        <v>581</v>
      </c>
      <c r="B582" s="3" t="s">
        <v>162</v>
      </c>
      <c r="C582" s="3" t="s">
        <v>788</v>
      </c>
      <c r="D582" s="3" t="s">
        <v>1486</v>
      </c>
      <c r="E582" s="3" t="s">
        <v>32</v>
      </c>
      <c r="F582" s="1">
        <v>43741</v>
      </c>
      <c r="G582">
        <v>6</v>
      </c>
      <c r="H582" s="3" t="s">
        <v>912</v>
      </c>
      <c r="I582" s="3" t="s">
        <v>39</v>
      </c>
      <c r="J582" s="3" t="s">
        <v>18</v>
      </c>
      <c r="K582" s="3" t="s">
        <v>60</v>
      </c>
      <c r="L582">
        <v>1257</v>
      </c>
      <c r="M582" s="3" t="s">
        <v>909</v>
      </c>
      <c r="N582">
        <v>15084</v>
      </c>
      <c r="O582">
        <v>2514</v>
      </c>
      <c r="P582">
        <v>4.5</v>
      </c>
      <c r="Q582" s="3" t="s">
        <v>913</v>
      </c>
      <c r="R582">
        <v>1</v>
      </c>
      <c r="S582">
        <v>3</v>
      </c>
      <c r="T582" s="3" t="s">
        <v>908</v>
      </c>
      <c r="U582">
        <v>2</v>
      </c>
      <c r="V582" s="3" t="s">
        <v>917</v>
      </c>
    </row>
    <row r="583" spans="1:22" x14ac:dyDescent="0.3">
      <c r="A583">
        <v>582</v>
      </c>
      <c r="B583" s="3" t="s">
        <v>789</v>
      </c>
      <c r="C583" s="3" t="s">
        <v>790</v>
      </c>
      <c r="D583" s="3" t="s">
        <v>1487</v>
      </c>
      <c r="E583" s="3" t="s">
        <v>307</v>
      </c>
      <c r="F583" s="1">
        <v>43825</v>
      </c>
      <c r="G583">
        <v>6</v>
      </c>
      <c r="H583" s="3" t="s">
        <v>912</v>
      </c>
      <c r="I583" s="3" t="s">
        <v>35</v>
      </c>
      <c r="J583" s="3" t="s">
        <v>29</v>
      </c>
      <c r="K583" s="3" t="s">
        <v>42</v>
      </c>
      <c r="L583">
        <v>819</v>
      </c>
      <c r="M583" s="3" t="s">
        <v>909</v>
      </c>
      <c r="N583">
        <v>9828</v>
      </c>
      <c r="O583">
        <v>1638</v>
      </c>
      <c r="P583">
        <v>4.5</v>
      </c>
      <c r="Q583" s="3" t="s">
        <v>913</v>
      </c>
      <c r="R583">
        <v>5</v>
      </c>
      <c r="S583">
        <v>0</v>
      </c>
      <c r="T583" s="3" t="s">
        <v>908</v>
      </c>
      <c r="U583">
        <v>7</v>
      </c>
      <c r="V583" s="3" t="s">
        <v>917</v>
      </c>
    </row>
    <row r="584" spans="1:22" x14ac:dyDescent="0.3">
      <c r="A584">
        <v>583</v>
      </c>
      <c r="B584" s="3" t="s">
        <v>207</v>
      </c>
      <c r="C584" s="3" t="s">
        <v>557</v>
      </c>
      <c r="D584" s="3" t="s">
        <v>1488</v>
      </c>
      <c r="E584" s="3" t="s">
        <v>32</v>
      </c>
      <c r="F584" s="1">
        <v>43775</v>
      </c>
      <c r="G584">
        <v>6</v>
      </c>
      <c r="H584" s="3" t="s">
        <v>912</v>
      </c>
      <c r="I584" s="3" t="s">
        <v>353</v>
      </c>
      <c r="J584" s="3" t="s">
        <v>29</v>
      </c>
      <c r="K584" s="3" t="s">
        <v>36</v>
      </c>
      <c r="L584">
        <v>3068</v>
      </c>
      <c r="M584" s="3" t="s">
        <v>913</v>
      </c>
      <c r="N584">
        <v>36816</v>
      </c>
      <c r="O584">
        <v>6136</v>
      </c>
      <c r="P584">
        <v>2</v>
      </c>
      <c r="Q584" s="3" t="s">
        <v>909</v>
      </c>
      <c r="R584">
        <v>4</v>
      </c>
      <c r="S584">
        <v>0</v>
      </c>
      <c r="T584" s="3" t="s">
        <v>908</v>
      </c>
      <c r="U584">
        <v>8</v>
      </c>
      <c r="V584" s="3" t="s">
        <v>917</v>
      </c>
    </row>
    <row r="585" spans="1:22" x14ac:dyDescent="0.3">
      <c r="A585">
        <v>584</v>
      </c>
      <c r="B585" s="3" t="s">
        <v>127</v>
      </c>
      <c r="C585" s="3" t="s">
        <v>791</v>
      </c>
      <c r="D585" s="3" t="s">
        <v>1489</v>
      </c>
      <c r="E585" s="3" t="s">
        <v>32</v>
      </c>
      <c r="F585" s="1">
        <v>43733</v>
      </c>
      <c r="G585">
        <v>6</v>
      </c>
      <c r="H585" s="3" t="s">
        <v>912</v>
      </c>
      <c r="I585" s="3" t="s">
        <v>50</v>
      </c>
      <c r="J585" s="3" t="s">
        <v>48</v>
      </c>
      <c r="K585" s="3" t="s">
        <v>898</v>
      </c>
      <c r="L585">
        <v>1814</v>
      </c>
      <c r="M585" s="3" t="s">
        <v>908</v>
      </c>
      <c r="N585">
        <v>21768</v>
      </c>
      <c r="O585">
        <v>3628</v>
      </c>
      <c r="P585">
        <v>3</v>
      </c>
      <c r="Q585" s="3" t="s">
        <v>908</v>
      </c>
      <c r="R585">
        <v>0</v>
      </c>
      <c r="S585">
        <v>0</v>
      </c>
      <c r="T585" s="3" t="s">
        <v>916</v>
      </c>
      <c r="U585">
        <v>6</v>
      </c>
      <c r="V585" s="3" t="s">
        <v>917</v>
      </c>
    </row>
    <row r="586" spans="1:22" x14ac:dyDescent="0.3">
      <c r="A586">
        <v>585</v>
      </c>
      <c r="B586" s="3" t="s">
        <v>357</v>
      </c>
      <c r="C586" s="3" t="s">
        <v>792</v>
      </c>
      <c r="D586" s="3" t="s">
        <v>1490</v>
      </c>
      <c r="E586" s="3" t="s">
        <v>32</v>
      </c>
      <c r="F586" s="1">
        <v>43605</v>
      </c>
      <c r="G586">
        <v>7</v>
      </c>
      <c r="H586" s="3" t="s">
        <v>907</v>
      </c>
      <c r="I586" s="3" t="s">
        <v>17</v>
      </c>
      <c r="J586" s="3" t="s">
        <v>18</v>
      </c>
      <c r="K586" s="3" t="s">
        <v>898</v>
      </c>
      <c r="L586">
        <v>1076</v>
      </c>
      <c r="M586" s="3" t="s">
        <v>909</v>
      </c>
      <c r="N586">
        <v>12912</v>
      </c>
      <c r="O586">
        <v>1844.5714285714287</v>
      </c>
      <c r="P586">
        <v>5</v>
      </c>
      <c r="Q586" s="3" t="s">
        <v>913</v>
      </c>
      <c r="R586">
        <v>1</v>
      </c>
      <c r="S586">
        <v>0</v>
      </c>
      <c r="T586" s="3" t="s">
        <v>909</v>
      </c>
      <c r="U586">
        <v>4</v>
      </c>
      <c r="V586" s="3" t="s">
        <v>917</v>
      </c>
    </row>
    <row r="587" spans="1:22" x14ac:dyDescent="0.3">
      <c r="A587">
        <v>586</v>
      </c>
      <c r="B587" s="3" t="s">
        <v>793</v>
      </c>
      <c r="C587" s="3" t="s">
        <v>794</v>
      </c>
      <c r="D587" s="3" t="s">
        <v>1491</v>
      </c>
      <c r="E587" s="3" t="s">
        <v>307</v>
      </c>
      <c r="F587" s="1">
        <v>42736</v>
      </c>
      <c r="G587">
        <v>9</v>
      </c>
      <c r="H587" s="3" t="s">
        <v>920</v>
      </c>
      <c r="I587" s="3" t="s">
        <v>163</v>
      </c>
      <c r="J587" s="3" t="s">
        <v>18</v>
      </c>
      <c r="K587" s="3" t="s">
        <v>36</v>
      </c>
      <c r="L587">
        <v>3120</v>
      </c>
      <c r="M587" s="3" t="s">
        <v>913</v>
      </c>
      <c r="N587">
        <v>37440</v>
      </c>
      <c r="O587">
        <v>4160</v>
      </c>
      <c r="P587">
        <v>3</v>
      </c>
      <c r="Q587" s="3" t="s">
        <v>908</v>
      </c>
      <c r="R587">
        <v>3</v>
      </c>
      <c r="S587">
        <v>0</v>
      </c>
      <c r="T587" s="3" t="s">
        <v>909</v>
      </c>
      <c r="U587">
        <v>2</v>
      </c>
      <c r="V587" s="3" t="s">
        <v>917</v>
      </c>
    </row>
    <row r="588" spans="1:22" x14ac:dyDescent="0.3">
      <c r="A588">
        <v>587</v>
      </c>
      <c r="B588" s="3" t="s">
        <v>99</v>
      </c>
      <c r="C588" s="3" t="s">
        <v>795</v>
      </c>
      <c r="D588" s="3" t="s">
        <v>1492</v>
      </c>
      <c r="E588" s="3" t="s">
        <v>307</v>
      </c>
      <c r="F588" s="1">
        <v>44072</v>
      </c>
      <c r="G588">
        <v>6</v>
      </c>
      <c r="H588" s="3" t="s">
        <v>912</v>
      </c>
      <c r="I588" s="3" t="s">
        <v>17</v>
      </c>
      <c r="J588" s="3" t="s">
        <v>18</v>
      </c>
      <c r="K588" s="3" t="s">
        <v>36</v>
      </c>
      <c r="L588">
        <v>1359</v>
      </c>
      <c r="M588" s="3" t="s">
        <v>909</v>
      </c>
      <c r="N588">
        <v>16308</v>
      </c>
      <c r="O588">
        <v>2718</v>
      </c>
      <c r="P588">
        <v>2</v>
      </c>
      <c r="Q588" s="3" t="s">
        <v>909</v>
      </c>
      <c r="R588">
        <v>0</v>
      </c>
      <c r="S588">
        <v>0</v>
      </c>
      <c r="T588" s="3" t="s">
        <v>916</v>
      </c>
      <c r="U588">
        <v>8</v>
      </c>
      <c r="V588" s="3" t="s">
        <v>917</v>
      </c>
    </row>
    <row r="589" spans="1:22" x14ac:dyDescent="0.3">
      <c r="A589">
        <v>588</v>
      </c>
      <c r="B589" s="3" t="s">
        <v>33</v>
      </c>
      <c r="C589" s="3" t="s">
        <v>796</v>
      </c>
      <c r="D589" s="3" t="s">
        <v>1493</v>
      </c>
      <c r="E589" s="3" t="s">
        <v>32</v>
      </c>
      <c r="F589" s="1">
        <v>43834</v>
      </c>
      <c r="G589">
        <v>6</v>
      </c>
      <c r="H589" s="3" t="s">
        <v>912</v>
      </c>
      <c r="I589" s="3" t="s">
        <v>28</v>
      </c>
      <c r="J589" s="3" t="s">
        <v>18</v>
      </c>
      <c r="K589" s="3" t="s">
        <v>36</v>
      </c>
      <c r="L589">
        <v>3391</v>
      </c>
      <c r="M589" s="3" t="s">
        <v>913</v>
      </c>
      <c r="N589">
        <v>40692</v>
      </c>
      <c r="O589">
        <v>6782</v>
      </c>
      <c r="P589">
        <v>1</v>
      </c>
      <c r="Q589" s="3" t="s">
        <v>909</v>
      </c>
      <c r="R589">
        <v>0</v>
      </c>
      <c r="S589">
        <v>3</v>
      </c>
      <c r="T589" s="3" t="s">
        <v>909</v>
      </c>
      <c r="U589">
        <v>1</v>
      </c>
      <c r="V589" s="3" t="s">
        <v>917</v>
      </c>
    </row>
    <row r="590" spans="1:22" x14ac:dyDescent="0.3">
      <c r="A590">
        <v>589</v>
      </c>
      <c r="B590" s="3" t="s">
        <v>797</v>
      </c>
      <c r="C590" s="3" t="s">
        <v>33</v>
      </c>
      <c r="D590" s="3" t="s">
        <v>1494</v>
      </c>
      <c r="E590" s="3" t="s">
        <v>307</v>
      </c>
      <c r="F590" s="1">
        <v>44054</v>
      </c>
      <c r="G590">
        <v>6</v>
      </c>
      <c r="H590" s="3" t="s">
        <v>912</v>
      </c>
      <c r="I590" s="3" t="s">
        <v>50</v>
      </c>
      <c r="J590" s="3" t="s">
        <v>48</v>
      </c>
      <c r="K590" s="3" t="s">
        <v>42</v>
      </c>
      <c r="L590">
        <v>1892</v>
      </c>
      <c r="M590" s="3" t="s">
        <v>908</v>
      </c>
      <c r="N590">
        <v>22704</v>
      </c>
      <c r="O590">
        <v>3784</v>
      </c>
      <c r="P590">
        <v>5</v>
      </c>
      <c r="Q590" s="3" t="s">
        <v>913</v>
      </c>
      <c r="R590">
        <v>0</v>
      </c>
      <c r="S590">
        <v>0</v>
      </c>
      <c r="T590" s="3" t="s">
        <v>916</v>
      </c>
      <c r="U590">
        <v>6</v>
      </c>
      <c r="V590" s="3" t="s">
        <v>917</v>
      </c>
    </row>
    <row r="591" spans="1:22" x14ac:dyDescent="0.3">
      <c r="A591">
        <v>590</v>
      </c>
      <c r="B591" s="3" t="s">
        <v>30</v>
      </c>
      <c r="C591" s="3" t="s">
        <v>798</v>
      </c>
      <c r="D591" s="3" t="s">
        <v>1495</v>
      </c>
      <c r="E591" s="3" t="s">
        <v>32</v>
      </c>
      <c r="F591" s="1">
        <v>43884</v>
      </c>
      <c r="G591">
        <v>6</v>
      </c>
      <c r="H591" s="3" t="s">
        <v>912</v>
      </c>
      <c r="I591" s="3" t="s">
        <v>28</v>
      </c>
      <c r="J591" s="3" t="s">
        <v>18</v>
      </c>
      <c r="K591" s="3" t="s">
        <v>19</v>
      </c>
      <c r="L591">
        <v>2639</v>
      </c>
      <c r="M591" s="3" t="s">
        <v>913</v>
      </c>
      <c r="N591">
        <v>31668</v>
      </c>
      <c r="O591">
        <v>5278</v>
      </c>
      <c r="P591">
        <v>1</v>
      </c>
      <c r="Q591" s="3" t="s">
        <v>909</v>
      </c>
      <c r="R591">
        <v>1</v>
      </c>
      <c r="S591">
        <v>0</v>
      </c>
      <c r="T591" s="3" t="s">
        <v>909</v>
      </c>
      <c r="U591">
        <v>3</v>
      </c>
      <c r="V591" s="3" t="s">
        <v>917</v>
      </c>
    </row>
    <row r="592" spans="1:22" x14ac:dyDescent="0.3">
      <c r="A592">
        <v>591</v>
      </c>
      <c r="B592" s="3" t="s">
        <v>334</v>
      </c>
      <c r="C592" s="3" t="s">
        <v>799</v>
      </c>
      <c r="D592" s="3" t="s">
        <v>1496</v>
      </c>
      <c r="E592" s="3" t="s">
        <v>307</v>
      </c>
      <c r="F592" s="1">
        <v>44039</v>
      </c>
      <c r="G592">
        <v>6</v>
      </c>
      <c r="H592" s="3" t="s">
        <v>912</v>
      </c>
      <c r="I592" s="3" t="s">
        <v>53</v>
      </c>
      <c r="J592" s="3" t="s">
        <v>18</v>
      </c>
      <c r="K592" s="3" t="s">
        <v>36</v>
      </c>
      <c r="L592">
        <v>1580</v>
      </c>
      <c r="M592" s="3" t="s">
        <v>908</v>
      </c>
      <c r="N592">
        <v>18960</v>
      </c>
      <c r="O592">
        <v>3160</v>
      </c>
      <c r="P592">
        <v>5</v>
      </c>
      <c r="Q592" s="3" t="s">
        <v>913</v>
      </c>
      <c r="R592">
        <v>2</v>
      </c>
      <c r="S592">
        <v>5</v>
      </c>
      <c r="T592" s="3" t="s">
        <v>913</v>
      </c>
      <c r="U592">
        <v>6</v>
      </c>
      <c r="V592" s="3" t="s">
        <v>917</v>
      </c>
    </row>
    <row r="593" spans="1:22" x14ac:dyDescent="0.3">
      <c r="A593">
        <v>592</v>
      </c>
      <c r="B593" s="3" t="s">
        <v>186</v>
      </c>
      <c r="C593" s="3" t="s">
        <v>800</v>
      </c>
      <c r="D593" s="3" t="s">
        <v>1497</v>
      </c>
      <c r="E593" s="3" t="s">
        <v>32</v>
      </c>
      <c r="F593" s="1">
        <v>43692</v>
      </c>
      <c r="G593">
        <v>7</v>
      </c>
      <c r="H593" s="3" t="s">
        <v>907</v>
      </c>
      <c r="I593" s="3" t="s">
        <v>17</v>
      </c>
      <c r="J593" s="3" t="s">
        <v>18</v>
      </c>
      <c r="K593" s="3" t="s">
        <v>36</v>
      </c>
      <c r="L593">
        <v>2186</v>
      </c>
      <c r="M593" s="3" t="s">
        <v>908</v>
      </c>
      <c r="N593">
        <v>26232</v>
      </c>
      <c r="O593">
        <v>3747.4285714285716</v>
      </c>
      <c r="P593">
        <v>3</v>
      </c>
      <c r="Q593" s="3" t="s">
        <v>908</v>
      </c>
      <c r="R593">
        <v>0</v>
      </c>
      <c r="S593">
        <v>0</v>
      </c>
      <c r="T593" s="3" t="s">
        <v>916</v>
      </c>
      <c r="U593">
        <v>4</v>
      </c>
      <c r="V593" s="3" t="s">
        <v>917</v>
      </c>
    </row>
    <row r="594" spans="1:22" x14ac:dyDescent="0.3">
      <c r="A594">
        <v>593</v>
      </c>
      <c r="B594" s="3" t="s">
        <v>33</v>
      </c>
      <c r="C594" s="3" t="s">
        <v>721</v>
      </c>
      <c r="D594" s="3" t="s">
        <v>1498</v>
      </c>
      <c r="E594" s="3" t="s">
        <v>32</v>
      </c>
      <c r="F594" s="1">
        <v>43684</v>
      </c>
      <c r="G594">
        <v>7</v>
      </c>
      <c r="H594" s="3" t="s">
        <v>907</v>
      </c>
      <c r="I594" s="3" t="s">
        <v>53</v>
      </c>
      <c r="J594" s="3" t="s">
        <v>29</v>
      </c>
      <c r="K594" s="3" t="s">
        <v>19</v>
      </c>
      <c r="L594">
        <v>1574</v>
      </c>
      <c r="M594" s="3" t="s">
        <v>908</v>
      </c>
      <c r="N594">
        <v>18888</v>
      </c>
      <c r="O594">
        <v>2698.2857142857142</v>
      </c>
      <c r="P594">
        <v>2</v>
      </c>
      <c r="Q594" s="3" t="s">
        <v>909</v>
      </c>
      <c r="R594">
        <v>0</v>
      </c>
      <c r="S594">
        <v>0</v>
      </c>
      <c r="T594" s="3" t="s">
        <v>916</v>
      </c>
      <c r="U594">
        <v>6</v>
      </c>
      <c r="V594" s="3" t="s">
        <v>917</v>
      </c>
    </row>
    <row r="595" spans="1:22" x14ac:dyDescent="0.3">
      <c r="A595">
        <v>594</v>
      </c>
      <c r="B595" s="3" t="s">
        <v>718</v>
      </c>
      <c r="C595" s="3" t="s">
        <v>801</v>
      </c>
      <c r="D595" s="3" t="s">
        <v>1499</v>
      </c>
      <c r="E595" s="3" t="s">
        <v>307</v>
      </c>
      <c r="F595" s="1">
        <v>43154</v>
      </c>
      <c r="G595">
        <v>8</v>
      </c>
      <c r="H595" s="3" t="s">
        <v>907</v>
      </c>
      <c r="I595" s="3" t="s">
        <v>41</v>
      </c>
      <c r="J595" s="3" t="s">
        <v>22</v>
      </c>
      <c r="K595" s="3" t="s">
        <v>36</v>
      </c>
      <c r="L595">
        <v>2013</v>
      </c>
      <c r="M595" s="3" t="s">
        <v>908</v>
      </c>
      <c r="N595">
        <v>24156</v>
      </c>
      <c r="O595">
        <v>3019.5</v>
      </c>
      <c r="P595">
        <v>4.5</v>
      </c>
      <c r="Q595" s="3" t="s">
        <v>913</v>
      </c>
      <c r="R595">
        <v>6</v>
      </c>
      <c r="S595">
        <v>0</v>
      </c>
      <c r="T595" s="3" t="s">
        <v>908</v>
      </c>
      <c r="U595">
        <v>8</v>
      </c>
      <c r="V595" s="3" t="s">
        <v>917</v>
      </c>
    </row>
    <row r="596" spans="1:22" x14ac:dyDescent="0.3">
      <c r="A596">
        <v>595</v>
      </c>
      <c r="B596" s="3" t="s">
        <v>419</v>
      </c>
      <c r="C596" s="3" t="s">
        <v>802</v>
      </c>
      <c r="D596" s="3" t="s">
        <v>1500</v>
      </c>
      <c r="E596" s="3" t="s">
        <v>307</v>
      </c>
      <c r="F596" s="1">
        <v>43835</v>
      </c>
      <c r="G596">
        <v>6</v>
      </c>
      <c r="H596" s="3" t="s">
        <v>912</v>
      </c>
      <c r="I596" s="3" t="s">
        <v>50</v>
      </c>
      <c r="J596" s="3" t="s">
        <v>18</v>
      </c>
      <c r="K596" s="3" t="s">
        <v>36</v>
      </c>
      <c r="L596">
        <v>2075</v>
      </c>
      <c r="M596" s="3" t="s">
        <v>908</v>
      </c>
      <c r="N596">
        <v>24900</v>
      </c>
      <c r="O596">
        <v>4150</v>
      </c>
      <c r="P596">
        <v>2</v>
      </c>
      <c r="Q596" s="3" t="s">
        <v>909</v>
      </c>
      <c r="R596">
        <v>0</v>
      </c>
      <c r="S596">
        <v>0</v>
      </c>
      <c r="T596" s="3" t="s">
        <v>916</v>
      </c>
      <c r="U596">
        <v>5</v>
      </c>
      <c r="V596" s="3" t="s">
        <v>917</v>
      </c>
    </row>
    <row r="597" spans="1:22" x14ac:dyDescent="0.3">
      <c r="A597">
        <v>596</v>
      </c>
      <c r="B597" s="3" t="s">
        <v>122</v>
      </c>
      <c r="C597" s="3" t="s">
        <v>803</v>
      </c>
      <c r="D597" s="3" t="s">
        <v>1501</v>
      </c>
      <c r="E597" s="3" t="s">
        <v>307</v>
      </c>
      <c r="F597" s="1">
        <v>43225</v>
      </c>
      <c r="G597">
        <v>8</v>
      </c>
      <c r="H597" s="3" t="s">
        <v>907</v>
      </c>
      <c r="I597" s="3" t="s">
        <v>28</v>
      </c>
      <c r="J597" s="3" t="s">
        <v>18</v>
      </c>
      <c r="K597" s="3" t="s">
        <v>36</v>
      </c>
      <c r="L597">
        <v>1372</v>
      </c>
      <c r="M597" s="3" t="s">
        <v>909</v>
      </c>
      <c r="N597">
        <v>16464</v>
      </c>
      <c r="O597">
        <v>2058</v>
      </c>
      <c r="P597">
        <v>1</v>
      </c>
      <c r="Q597" s="3" t="s">
        <v>909</v>
      </c>
      <c r="R597">
        <v>0</v>
      </c>
      <c r="S597">
        <v>3</v>
      </c>
      <c r="T597" s="3" t="s">
        <v>909</v>
      </c>
      <c r="U597">
        <v>2</v>
      </c>
      <c r="V597" s="3" t="s">
        <v>917</v>
      </c>
    </row>
    <row r="598" spans="1:22" x14ac:dyDescent="0.3">
      <c r="A598">
        <v>597</v>
      </c>
      <c r="B598" s="3" t="s">
        <v>170</v>
      </c>
      <c r="C598" s="3" t="s">
        <v>804</v>
      </c>
      <c r="D598" s="3" t="s">
        <v>1502</v>
      </c>
      <c r="E598" s="3" t="s">
        <v>32</v>
      </c>
      <c r="F598" s="1">
        <v>43315</v>
      </c>
      <c r="G598">
        <v>8</v>
      </c>
      <c r="H598" s="3" t="s">
        <v>907</v>
      </c>
      <c r="I598" s="3" t="s">
        <v>53</v>
      </c>
      <c r="J598" s="3" t="s">
        <v>18</v>
      </c>
      <c r="K598" s="3" t="s">
        <v>42</v>
      </c>
      <c r="L598">
        <v>2026</v>
      </c>
      <c r="M598" s="3" t="s">
        <v>908</v>
      </c>
      <c r="N598">
        <v>24312</v>
      </c>
      <c r="O598">
        <v>3039</v>
      </c>
      <c r="P598">
        <v>4.5</v>
      </c>
      <c r="Q598" s="3" t="s">
        <v>913</v>
      </c>
      <c r="R598">
        <v>0</v>
      </c>
      <c r="S598">
        <v>0</v>
      </c>
      <c r="T598" s="3" t="s">
        <v>916</v>
      </c>
      <c r="U598">
        <v>7</v>
      </c>
      <c r="V598" s="3" t="s">
        <v>917</v>
      </c>
    </row>
    <row r="599" spans="1:22" x14ac:dyDescent="0.3">
      <c r="A599">
        <v>598</v>
      </c>
      <c r="B599" s="3" t="s">
        <v>805</v>
      </c>
      <c r="C599" s="3" t="s">
        <v>806</v>
      </c>
      <c r="D599" s="3" t="s">
        <v>1503</v>
      </c>
      <c r="E599" s="3" t="s">
        <v>32</v>
      </c>
      <c r="F599" s="1">
        <v>42854</v>
      </c>
      <c r="G599">
        <v>9</v>
      </c>
      <c r="H599" s="3" t="s">
        <v>920</v>
      </c>
      <c r="I599" s="3" t="s">
        <v>28</v>
      </c>
      <c r="J599" s="3" t="s">
        <v>29</v>
      </c>
      <c r="K599" s="3" t="s">
        <v>36</v>
      </c>
      <c r="L599">
        <v>1351</v>
      </c>
      <c r="M599" s="3" t="s">
        <v>909</v>
      </c>
      <c r="N599">
        <v>16212</v>
      </c>
      <c r="O599">
        <v>1801.3333333333333</v>
      </c>
      <c r="P599">
        <v>2</v>
      </c>
      <c r="Q599" s="3" t="s">
        <v>909</v>
      </c>
      <c r="R599">
        <v>0</v>
      </c>
      <c r="S599">
        <v>0</v>
      </c>
      <c r="T599" s="3" t="s">
        <v>916</v>
      </c>
      <c r="U599">
        <v>8</v>
      </c>
      <c r="V599" s="3" t="s">
        <v>917</v>
      </c>
    </row>
    <row r="600" spans="1:22" x14ac:dyDescent="0.3">
      <c r="A600">
        <v>599</v>
      </c>
      <c r="B600" s="3" t="s">
        <v>186</v>
      </c>
      <c r="C600" s="3" t="s">
        <v>807</v>
      </c>
      <c r="D600" s="3" t="s">
        <v>1504</v>
      </c>
      <c r="E600" s="3" t="s">
        <v>32</v>
      </c>
      <c r="F600" s="1">
        <v>42884</v>
      </c>
      <c r="G600">
        <v>9</v>
      </c>
      <c r="H600" s="3" t="s">
        <v>920</v>
      </c>
      <c r="I600" s="3" t="s">
        <v>17</v>
      </c>
      <c r="J600" s="3" t="s">
        <v>18</v>
      </c>
      <c r="K600" s="3" t="s">
        <v>19</v>
      </c>
      <c r="L600">
        <v>1111</v>
      </c>
      <c r="M600" s="3" t="s">
        <v>909</v>
      </c>
      <c r="N600">
        <v>13332</v>
      </c>
      <c r="O600">
        <v>1481.3333333333333</v>
      </c>
      <c r="P600">
        <v>1</v>
      </c>
      <c r="Q600" s="3" t="s">
        <v>909</v>
      </c>
      <c r="R600">
        <v>3</v>
      </c>
      <c r="S600">
        <v>0</v>
      </c>
      <c r="T600" s="3" t="s">
        <v>909</v>
      </c>
      <c r="U600">
        <v>6</v>
      </c>
      <c r="V600" s="3" t="s">
        <v>917</v>
      </c>
    </row>
    <row r="601" spans="1:22" x14ac:dyDescent="0.3">
      <c r="A601">
        <v>600</v>
      </c>
      <c r="B601" s="3" t="s">
        <v>49</v>
      </c>
      <c r="C601" s="3" t="s">
        <v>808</v>
      </c>
      <c r="D601" s="3" t="s">
        <v>1505</v>
      </c>
      <c r="E601" s="3" t="s">
        <v>32</v>
      </c>
      <c r="F601" s="1">
        <v>44016</v>
      </c>
      <c r="G601">
        <v>6</v>
      </c>
      <c r="H601" s="3" t="s">
        <v>912</v>
      </c>
      <c r="I601" s="3" t="s">
        <v>17</v>
      </c>
      <c r="J601" s="3" t="s">
        <v>18</v>
      </c>
      <c r="K601" s="3" t="s">
        <v>36</v>
      </c>
      <c r="L601">
        <v>1554</v>
      </c>
      <c r="M601" s="3" t="s">
        <v>908</v>
      </c>
      <c r="N601">
        <v>18648</v>
      </c>
      <c r="O601">
        <v>3108</v>
      </c>
      <c r="P601">
        <v>5</v>
      </c>
      <c r="Q601" s="3" t="s">
        <v>913</v>
      </c>
      <c r="R601">
        <v>6</v>
      </c>
      <c r="S601">
        <v>5</v>
      </c>
      <c r="T601" s="3" t="s">
        <v>913</v>
      </c>
      <c r="U601">
        <v>8</v>
      </c>
      <c r="V601" s="3" t="s">
        <v>917</v>
      </c>
    </row>
    <row r="602" spans="1:22" x14ac:dyDescent="0.3">
      <c r="A602">
        <v>601</v>
      </c>
      <c r="B602" s="3" t="s">
        <v>684</v>
      </c>
      <c r="C602" s="3" t="s">
        <v>809</v>
      </c>
      <c r="D602" s="3" t="s">
        <v>1506</v>
      </c>
      <c r="E602" s="3" t="s">
        <v>32</v>
      </c>
      <c r="F602" s="1">
        <v>43758</v>
      </c>
      <c r="G602">
        <v>6</v>
      </c>
      <c r="H602" s="3" t="s">
        <v>912</v>
      </c>
      <c r="I602" s="3" t="s">
        <v>77</v>
      </c>
      <c r="J602" s="3" t="s">
        <v>22</v>
      </c>
      <c r="K602" s="3" t="s">
        <v>19</v>
      </c>
      <c r="L602">
        <v>3057</v>
      </c>
      <c r="M602" s="3" t="s">
        <v>913</v>
      </c>
      <c r="N602">
        <v>36684</v>
      </c>
      <c r="O602">
        <v>6114</v>
      </c>
      <c r="P602">
        <v>5</v>
      </c>
      <c r="Q602" s="3" t="s">
        <v>913</v>
      </c>
      <c r="R602">
        <v>0</v>
      </c>
      <c r="S602">
        <v>0</v>
      </c>
      <c r="T602" s="3" t="s">
        <v>916</v>
      </c>
      <c r="U602">
        <v>0</v>
      </c>
      <c r="V602" s="3" t="s">
        <v>955</v>
      </c>
    </row>
    <row r="603" spans="1:22" x14ac:dyDescent="0.3">
      <c r="A603">
        <v>602</v>
      </c>
      <c r="B603" s="3" t="s">
        <v>357</v>
      </c>
      <c r="C603" s="3" t="s">
        <v>810</v>
      </c>
      <c r="D603" s="3" t="s">
        <v>1507</v>
      </c>
      <c r="E603" s="3" t="s">
        <v>32</v>
      </c>
      <c r="F603" s="1">
        <v>43453</v>
      </c>
      <c r="G603">
        <v>7</v>
      </c>
      <c r="H603" s="3" t="s">
        <v>907</v>
      </c>
      <c r="I603" s="3" t="s">
        <v>50</v>
      </c>
      <c r="J603" s="3" t="s">
        <v>22</v>
      </c>
      <c r="K603" s="3" t="s">
        <v>60</v>
      </c>
      <c r="L603">
        <v>1733</v>
      </c>
      <c r="M603" s="3" t="s">
        <v>908</v>
      </c>
      <c r="N603">
        <v>20796</v>
      </c>
      <c r="O603">
        <v>2970.8571428571427</v>
      </c>
      <c r="P603">
        <v>3</v>
      </c>
      <c r="Q603" s="3" t="s">
        <v>908</v>
      </c>
      <c r="R603">
        <v>0</v>
      </c>
      <c r="S603">
        <v>0</v>
      </c>
      <c r="T603" s="3" t="s">
        <v>916</v>
      </c>
      <c r="U603">
        <v>3</v>
      </c>
      <c r="V603" s="3" t="s">
        <v>917</v>
      </c>
    </row>
    <row r="604" spans="1:22" x14ac:dyDescent="0.3">
      <c r="A604">
        <v>603</v>
      </c>
      <c r="B604" s="3" t="s">
        <v>30</v>
      </c>
      <c r="C604" s="3" t="s">
        <v>811</v>
      </c>
      <c r="D604" s="3" t="s">
        <v>1508</v>
      </c>
      <c r="E604" s="3" t="s">
        <v>32</v>
      </c>
      <c r="F604" s="1">
        <v>42393</v>
      </c>
      <c r="G604">
        <v>10</v>
      </c>
      <c r="H604" s="3" t="s">
        <v>920</v>
      </c>
      <c r="I604" s="3" t="s">
        <v>163</v>
      </c>
      <c r="J604" s="3" t="s">
        <v>18</v>
      </c>
      <c r="K604" s="3" t="s">
        <v>42</v>
      </c>
      <c r="L604">
        <v>1511</v>
      </c>
      <c r="M604" s="3" t="s">
        <v>908</v>
      </c>
      <c r="N604">
        <v>18132</v>
      </c>
      <c r="O604">
        <v>1813.2</v>
      </c>
      <c r="P604">
        <v>5</v>
      </c>
      <c r="Q604" s="3" t="s">
        <v>913</v>
      </c>
      <c r="R604">
        <v>0</v>
      </c>
      <c r="S604">
        <v>0</v>
      </c>
      <c r="T604" s="3" t="s">
        <v>916</v>
      </c>
      <c r="U604">
        <v>2</v>
      </c>
      <c r="V604" s="3" t="s">
        <v>917</v>
      </c>
    </row>
    <row r="605" spans="1:22" x14ac:dyDescent="0.3">
      <c r="A605">
        <v>604</v>
      </c>
      <c r="B605" s="3" t="s">
        <v>30</v>
      </c>
      <c r="C605" s="3" t="s">
        <v>113</v>
      </c>
      <c r="D605" s="3" t="s">
        <v>960</v>
      </c>
      <c r="E605" s="3" t="s">
        <v>32</v>
      </c>
      <c r="F605" s="1">
        <v>42737</v>
      </c>
      <c r="G605">
        <v>9</v>
      </c>
      <c r="H605" s="3" t="s">
        <v>920</v>
      </c>
      <c r="I605" s="3" t="s">
        <v>39</v>
      </c>
      <c r="J605" s="3" t="s">
        <v>18</v>
      </c>
      <c r="K605" s="3" t="s">
        <v>42</v>
      </c>
      <c r="L605">
        <v>2542</v>
      </c>
      <c r="M605" s="3" t="s">
        <v>913</v>
      </c>
      <c r="N605">
        <v>30504</v>
      </c>
      <c r="O605">
        <v>3389.3333333333335</v>
      </c>
      <c r="P605">
        <v>5</v>
      </c>
      <c r="Q605" s="3" t="s">
        <v>913</v>
      </c>
      <c r="R605">
        <v>0</v>
      </c>
      <c r="S605">
        <v>6</v>
      </c>
      <c r="T605" s="3" t="s">
        <v>908</v>
      </c>
      <c r="U605">
        <v>6</v>
      </c>
      <c r="V605" s="3" t="s">
        <v>917</v>
      </c>
    </row>
    <row r="606" spans="1:22" x14ac:dyDescent="0.3">
      <c r="A606">
        <v>605</v>
      </c>
      <c r="B606" s="3" t="s">
        <v>812</v>
      </c>
      <c r="C606" s="3" t="s">
        <v>685</v>
      </c>
      <c r="D606" s="3" t="s">
        <v>1509</v>
      </c>
      <c r="E606" s="3" t="s">
        <v>307</v>
      </c>
      <c r="F606" s="1">
        <v>43830</v>
      </c>
      <c r="G606">
        <v>6</v>
      </c>
      <c r="H606" s="3" t="s">
        <v>912</v>
      </c>
      <c r="I606" s="3" t="s">
        <v>17</v>
      </c>
      <c r="J606" s="3" t="s">
        <v>18</v>
      </c>
      <c r="K606" s="3" t="s">
        <v>36</v>
      </c>
      <c r="L606">
        <v>1573</v>
      </c>
      <c r="M606" s="3" t="s">
        <v>908</v>
      </c>
      <c r="N606">
        <v>18876</v>
      </c>
      <c r="O606">
        <v>3146</v>
      </c>
      <c r="P606">
        <v>1</v>
      </c>
      <c r="Q606" s="3" t="s">
        <v>909</v>
      </c>
      <c r="R606">
        <v>2</v>
      </c>
      <c r="S606">
        <v>0</v>
      </c>
      <c r="T606" s="3" t="s">
        <v>909</v>
      </c>
      <c r="U606">
        <v>3</v>
      </c>
      <c r="V606" s="3" t="s">
        <v>917</v>
      </c>
    </row>
    <row r="607" spans="1:22" x14ac:dyDescent="0.3">
      <c r="A607">
        <v>606</v>
      </c>
      <c r="B607" s="3" t="s">
        <v>33</v>
      </c>
      <c r="C607" s="3" t="s">
        <v>813</v>
      </c>
      <c r="D607" s="3" t="s">
        <v>1510</v>
      </c>
      <c r="E607" s="3" t="s">
        <v>32</v>
      </c>
      <c r="F607" s="1">
        <v>43010</v>
      </c>
      <c r="G607">
        <v>8</v>
      </c>
      <c r="H607" s="3" t="s">
        <v>907</v>
      </c>
      <c r="I607" s="3" t="s">
        <v>28</v>
      </c>
      <c r="J607" s="3" t="s">
        <v>48</v>
      </c>
      <c r="K607" s="3" t="s">
        <v>42</v>
      </c>
      <c r="L607">
        <v>2604</v>
      </c>
      <c r="M607" s="3" t="s">
        <v>913</v>
      </c>
      <c r="N607">
        <v>31248</v>
      </c>
      <c r="O607">
        <v>3906</v>
      </c>
      <c r="P607">
        <v>3</v>
      </c>
      <c r="Q607" s="3" t="s">
        <v>908</v>
      </c>
      <c r="R607">
        <v>0</v>
      </c>
      <c r="S607">
        <v>0</v>
      </c>
      <c r="T607" s="3" t="s">
        <v>916</v>
      </c>
      <c r="U607">
        <v>1</v>
      </c>
      <c r="V607" s="3" t="s">
        <v>917</v>
      </c>
    </row>
    <row r="608" spans="1:22" x14ac:dyDescent="0.3">
      <c r="A608">
        <v>607</v>
      </c>
      <c r="B608" s="3" t="s">
        <v>814</v>
      </c>
      <c r="C608" s="3" t="s">
        <v>815</v>
      </c>
      <c r="D608" s="3" t="s">
        <v>1511</v>
      </c>
      <c r="E608" s="3" t="s">
        <v>307</v>
      </c>
      <c r="F608" s="1">
        <v>43592</v>
      </c>
      <c r="G608">
        <v>7</v>
      </c>
      <c r="H608" s="3" t="s">
        <v>907</v>
      </c>
      <c r="I608" s="3" t="s">
        <v>77</v>
      </c>
      <c r="J608" s="3" t="s">
        <v>48</v>
      </c>
      <c r="K608" s="3" t="s">
        <v>19</v>
      </c>
      <c r="L608">
        <v>3152</v>
      </c>
      <c r="M608" s="3" t="s">
        <v>913</v>
      </c>
      <c r="N608">
        <v>37824</v>
      </c>
      <c r="O608">
        <v>5403.4285714285716</v>
      </c>
      <c r="P608">
        <v>5</v>
      </c>
      <c r="Q608" s="3" t="s">
        <v>913</v>
      </c>
      <c r="R608">
        <v>0</v>
      </c>
      <c r="S608">
        <v>0</v>
      </c>
      <c r="T608" s="3" t="s">
        <v>916</v>
      </c>
      <c r="U608">
        <v>8</v>
      </c>
      <c r="V608" s="3" t="s">
        <v>917</v>
      </c>
    </row>
    <row r="609" spans="1:22" x14ac:dyDescent="0.3">
      <c r="A609">
        <v>608</v>
      </c>
      <c r="B609" s="3" t="s">
        <v>33</v>
      </c>
      <c r="C609" s="3" t="s">
        <v>167</v>
      </c>
      <c r="D609" s="3" t="s">
        <v>1102</v>
      </c>
      <c r="E609" s="3" t="s">
        <v>32</v>
      </c>
      <c r="F609" s="1">
        <v>44097</v>
      </c>
      <c r="G609">
        <v>5</v>
      </c>
      <c r="H609" s="3" t="s">
        <v>912</v>
      </c>
      <c r="I609" s="3" t="s">
        <v>41</v>
      </c>
      <c r="J609" s="3" t="s">
        <v>29</v>
      </c>
      <c r="K609" s="3" t="s">
        <v>898</v>
      </c>
      <c r="L609">
        <v>2655</v>
      </c>
      <c r="M609" s="3" t="s">
        <v>913</v>
      </c>
      <c r="N609">
        <v>31860</v>
      </c>
      <c r="O609">
        <v>6372</v>
      </c>
      <c r="P609">
        <v>5</v>
      </c>
      <c r="Q609" s="3" t="s">
        <v>913</v>
      </c>
      <c r="R609">
        <v>0</v>
      </c>
      <c r="S609">
        <v>0</v>
      </c>
      <c r="T609" s="3" t="s">
        <v>916</v>
      </c>
      <c r="U609">
        <v>6</v>
      </c>
      <c r="V609" s="3" t="s">
        <v>917</v>
      </c>
    </row>
    <row r="610" spans="1:22" x14ac:dyDescent="0.3">
      <c r="A610">
        <v>609</v>
      </c>
      <c r="B610" s="3" t="s">
        <v>33</v>
      </c>
      <c r="C610" s="3" t="s">
        <v>816</v>
      </c>
      <c r="D610" s="3" t="s">
        <v>1512</v>
      </c>
      <c r="E610" s="3" t="s">
        <v>32</v>
      </c>
      <c r="F610" s="1">
        <v>42412</v>
      </c>
      <c r="G610">
        <v>10</v>
      </c>
      <c r="H610" s="3" t="s">
        <v>920</v>
      </c>
      <c r="I610" s="3" t="s">
        <v>73</v>
      </c>
      <c r="J610" s="3" t="s">
        <v>18</v>
      </c>
      <c r="K610" s="3" t="s">
        <v>60</v>
      </c>
      <c r="L610">
        <v>1405</v>
      </c>
      <c r="M610" s="3" t="s">
        <v>909</v>
      </c>
      <c r="N610">
        <v>16860</v>
      </c>
      <c r="O610">
        <v>1686</v>
      </c>
      <c r="P610">
        <v>5</v>
      </c>
      <c r="Q610" s="3" t="s">
        <v>913</v>
      </c>
      <c r="R610">
        <v>6</v>
      </c>
      <c r="S610">
        <v>0</v>
      </c>
      <c r="T610" s="3" t="s">
        <v>908</v>
      </c>
      <c r="U610">
        <v>10</v>
      </c>
      <c r="V610" s="3" t="s">
        <v>917</v>
      </c>
    </row>
    <row r="611" spans="1:22" x14ac:dyDescent="0.3">
      <c r="A611">
        <v>610</v>
      </c>
      <c r="B611" s="3" t="s">
        <v>186</v>
      </c>
      <c r="C611" s="3" t="s">
        <v>817</v>
      </c>
      <c r="D611" s="3" t="s">
        <v>1513</v>
      </c>
      <c r="E611" s="3" t="s">
        <v>32</v>
      </c>
      <c r="F611" s="1">
        <v>43234</v>
      </c>
      <c r="G611">
        <v>8</v>
      </c>
      <c r="H611" s="3" t="s">
        <v>907</v>
      </c>
      <c r="I611" s="3" t="s">
        <v>28</v>
      </c>
      <c r="J611" s="3" t="s">
        <v>18</v>
      </c>
      <c r="K611" s="3" t="s">
        <v>36</v>
      </c>
      <c r="L611">
        <v>3100</v>
      </c>
      <c r="M611" s="3" t="s">
        <v>913</v>
      </c>
      <c r="N611">
        <v>37200</v>
      </c>
      <c r="O611">
        <v>4650</v>
      </c>
      <c r="P611">
        <v>5</v>
      </c>
      <c r="Q611" s="3" t="s">
        <v>913</v>
      </c>
      <c r="R611">
        <v>0</v>
      </c>
      <c r="S611">
        <v>0</v>
      </c>
      <c r="T611" s="3" t="s">
        <v>916</v>
      </c>
      <c r="U611">
        <v>7</v>
      </c>
      <c r="V611" s="3" t="s">
        <v>917</v>
      </c>
    </row>
    <row r="612" spans="1:22" x14ac:dyDescent="0.3">
      <c r="A612">
        <v>611</v>
      </c>
      <c r="B612" s="3" t="s">
        <v>206</v>
      </c>
      <c r="C612" s="3" t="s">
        <v>818</v>
      </c>
      <c r="D612" s="3" t="s">
        <v>1514</v>
      </c>
      <c r="E612" s="3" t="s">
        <v>307</v>
      </c>
      <c r="F612" s="1">
        <v>42947</v>
      </c>
      <c r="G612">
        <v>9</v>
      </c>
      <c r="H612" s="3" t="s">
        <v>920</v>
      </c>
      <c r="I612" s="3" t="s">
        <v>28</v>
      </c>
      <c r="J612" s="3" t="s">
        <v>29</v>
      </c>
      <c r="K612" s="3" t="s">
        <v>898</v>
      </c>
      <c r="L612">
        <v>2729</v>
      </c>
      <c r="M612" s="3" t="s">
        <v>913</v>
      </c>
      <c r="N612">
        <v>32748</v>
      </c>
      <c r="O612">
        <v>3638.6666666666665</v>
      </c>
      <c r="P612">
        <v>4.5</v>
      </c>
      <c r="Q612" s="3" t="s">
        <v>913</v>
      </c>
      <c r="R612">
        <v>0</v>
      </c>
      <c r="S612">
        <v>0</v>
      </c>
      <c r="T612" s="3" t="s">
        <v>916</v>
      </c>
      <c r="U612">
        <v>6</v>
      </c>
      <c r="V612" s="3" t="s">
        <v>917</v>
      </c>
    </row>
    <row r="613" spans="1:22" x14ac:dyDescent="0.3">
      <c r="A613">
        <v>612</v>
      </c>
      <c r="B613" s="3" t="s">
        <v>186</v>
      </c>
      <c r="C613" s="3" t="s">
        <v>350</v>
      </c>
      <c r="D613" s="3" t="s">
        <v>1515</v>
      </c>
      <c r="E613" s="3" t="s">
        <v>32</v>
      </c>
      <c r="F613" s="1">
        <v>43290</v>
      </c>
      <c r="G613">
        <v>8</v>
      </c>
      <c r="H613" s="3" t="s">
        <v>907</v>
      </c>
      <c r="I613" s="3" t="s">
        <v>58</v>
      </c>
      <c r="J613" s="3" t="s">
        <v>18</v>
      </c>
      <c r="K613" s="3" t="s">
        <v>42</v>
      </c>
      <c r="L613">
        <v>1467</v>
      </c>
      <c r="M613" s="3" t="s">
        <v>909</v>
      </c>
      <c r="N613">
        <v>17604</v>
      </c>
      <c r="O613">
        <v>2200.5</v>
      </c>
      <c r="P613">
        <v>5</v>
      </c>
      <c r="Q613" s="3" t="s">
        <v>913</v>
      </c>
      <c r="R613">
        <v>0</v>
      </c>
      <c r="S613">
        <v>0</v>
      </c>
      <c r="T613" s="3" t="s">
        <v>916</v>
      </c>
      <c r="U613">
        <v>7</v>
      </c>
      <c r="V613" s="3" t="s">
        <v>917</v>
      </c>
    </row>
    <row r="614" spans="1:22" x14ac:dyDescent="0.3">
      <c r="A614">
        <v>613</v>
      </c>
      <c r="B614" s="3" t="s">
        <v>37</v>
      </c>
      <c r="C614" s="3" t="s">
        <v>819</v>
      </c>
      <c r="D614" s="3" t="s">
        <v>1516</v>
      </c>
      <c r="E614" s="3" t="s">
        <v>307</v>
      </c>
      <c r="F614" s="1">
        <v>42791</v>
      </c>
      <c r="G614">
        <v>9</v>
      </c>
      <c r="H614" s="3" t="s">
        <v>920</v>
      </c>
      <c r="I614" s="3" t="s">
        <v>28</v>
      </c>
      <c r="J614" s="3" t="s">
        <v>22</v>
      </c>
      <c r="K614" s="3" t="s">
        <v>42</v>
      </c>
      <c r="L614">
        <v>1612</v>
      </c>
      <c r="M614" s="3" t="s">
        <v>908</v>
      </c>
      <c r="N614">
        <v>19344</v>
      </c>
      <c r="O614">
        <v>2149.3333333333335</v>
      </c>
      <c r="P614">
        <v>5</v>
      </c>
      <c r="Q614" s="3" t="s">
        <v>913</v>
      </c>
      <c r="R614">
        <v>0</v>
      </c>
      <c r="S614">
        <v>0</v>
      </c>
      <c r="T614" s="3" t="s">
        <v>916</v>
      </c>
      <c r="U614">
        <v>4</v>
      </c>
      <c r="V614" s="3" t="s">
        <v>917</v>
      </c>
    </row>
    <row r="615" spans="1:22" x14ac:dyDescent="0.3">
      <c r="A615">
        <v>614</v>
      </c>
      <c r="B615" s="3" t="s">
        <v>33</v>
      </c>
      <c r="C615" s="3" t="s">
        <v>820</v>
      </c>
      <c r="D615" s="3" t="s">
        <v>1517</v>
      </c>
      <c r="E615" s="3" t="s">
        <v>32</v>
      </c>
      <c r="F615" s="1">
        <v>43574</v>
      </c>
      <c r="G615">
        <v>7</v>
      </c>
      <c r="H615" s="3" t="s">
        <v>907</v>
      </c>
      <c r="I615" s="3" t="s">
        <v>17</v>
      </c>
      <c r="J615" s="3" t="s">
        <v>18</v>
      </c>
      <c r="K615" s="3" t="s">
        <v>42</v>
      </c>
      <c r="L615">
        <v>2901</v>
      </c>
      <c r="M615" s="3" t="s">
        <v>913</v>
      </c>
      <c r="N615">
        <v>34812</v>
      </c>
      <c r="O615">
        <v>4973.1428571428569</v>
      </c>
      <c r="P615">
        <v>5</v>
      </c>
      <c r="Q615" s="3" t="s">
        <v>913</v>
      </c>
      <c r="R615">
        <v>0</v>
      </c>
      <c r="S615">
        <v>0</v>
      </c>
      <c r="T615" s="3" t="s">
        <v>916</v>
      </c>
      <c r="U615">
        <v>6</v>
      </c>
      <c r="V615" s="3" t="s">
        <v>917</v>
      </c>
    </row>
    <row r="616" spans="1:22" x14ac:dyDescent="0.3">
      <c r="A616">
        <v>615</v>
      </c>
      <c r="B616" s="3" t="s">
        <v>116</v>
      </c>
      <c r="C616" s="3" t="s">
        <v>821</v>
      </c>
      <c r="D616" s="3" t="s">
        <v>1518</v>
      </c>
      <c r="E616" s="3" t="s">
        <v>32</v>
      </c>
      <c r="F616" s="1">
        <v>42952</v>
      </c>
      <c r="G616">
        <v>9</v>
      </c>
      <c r="H616" s="3" t="s">
        <v>920</v>
      </c>
      <c r="I616" s="3" t="s">
        <v>163</v>
      </c>
      <c r="J616" s="3" t="s">
        <v>18</v>
      </c>
      <c r="K616" s="3" t="s">
        <v>42</v>
      </c>
      <c r="L616">
        <v>1999</v>
      </c>
      <c r="M616" s="3" t="s">
        <v>908</v>
      </c>
      <c r="N616">
        <v>23988</v>
      </c>
      <c r="O616">
        <v>2665.3333333333335</v>
      </c>
      <c r="P616">
        <v>3</v>
      </c>
      <c r="Q616" s="3" t="s">
        <v>908</v>
      </c>
      <c r="R616">
        <v>0</v>
      </c>
      <c r="S616">
        <v>0</v>
      </c>
      <c r="T616" s="3" t="s">
        <v>916</v>
      </c>
      <c r="U616">
        <v>4</v>
      </c>
      <c r="V616" s="3" t="s">
        <v>917</v>
      </c>
    </row>
    <row r="617" spans="1:22" x14ac:dyDescent="0.3">
      <c r="A617">
        <v>616</v>
      </c>
      <c r="B617" s="3" t="s">
        <v>184</v>
      </c>
      <c r="C617" s="3" t="s">
        <v>167</v>
      </c>
      <c r="D617" s="3" t="s">
        <v>1519</v>
      </c>
      <c r="E617" s="3" t="s">
        <v>307</v>
      </c>
      <c r="F617" s="1">
        <v>43239</v>
      </c>
      <c r="G617">
        <v>8</v>
      </c>
      <c r="H617" s="3" t="s">
        <v>907</v>
      </c>
      <c r="I617" s="3" t="s">
        <v>41</v>
      </c>
      <c r="J617" s="3" t="s">
        <v>22</v>
      </c>
      <c r="K617" s="3" t="s">
        <v>36</v>
      </c>
      <c r="L617">
        <v>705</v>
      </c>
      <c r="M617" s="3" t="s">
        <v>909</v>
      </c>
      <c r="N617">
        <v>8460</v>
      </c>
      <c r="O617">
        <v>1057.5</v>
      </c>
      <c r="P617">
        <v>3</v>
      </c>
      <c r="Q617" s="3" t="s">
        <v>908</v>
      </c>
      <c r="R617">
        <v>6</v>
      </c>
      <c r="S617">
        <v>0</v>
      </c>
      <c r="T617" s="3" t="s">
        <v>908</v>
      </c>
      <c r="U617">
        <v>8</v>
      </c>
      <c r="V617" s="3" t="s">
        <v>917</v>
      </c>
    </row>
    <row r="618" spans="1:22" x14ac:dyDescent="0.3">
      <c r="A618">
        <v>617</v>
      </c>
      <c r="B618" s="3" t="s">
        <v>89</v>
      </c>
      <c r="C618" s="3" t="s">
        <v>822</v>
      </c>
      <c r="D618" s="3" t="s">
        <v>1520</v>
      </c>
      <c r="E618" s="3" t="s">
        <v>307</v>
      </c>
      <c r="F618" s="1">
        <v>43737</v>
      </c>
      <c r="G618">
        <v>6</v>
      </c>
      <c r="H618" s="3" t="s">
        <v>912</v>
      </c>
      <c r="I618" s="3" t="s">
        <v>39</v>
      </c>
      <c r="J618" s="3" t="s">
        <v>18</v>
      </c>
      <c r="K618" s="3" t="s">
        <v>36</v>
      </c>
      <c r="L618">
        <v>3311</v>
      </c>
      <c r="M618" s="3" t="s">
        <v>913</v>
      </c>
      <c r="N618">
        <v>39732</v>
      </c>
      <c r="O618">
        <v>6622</v>
      </c>
      <c r="P618">
        <v>4.5</v>
      </c>
      <c r="Q618" s="3" t="s">
        <v>913</v>
      </c>
      <c r="R618">
        <v>0</v>
      </c>
      <c r="S618">
        <v>0</v>
      </c>
      <c r="T618" s="3" t="s">
        <v>916</v>
      </c>
      <c r="U618">
        <v>1</v>
      </c>
      <c r="V618" s="3" t="s">
        <v>917</v>
      </c>
    </row>
    <row r="619" spans="1:22" x14ac:dyDescent="0.3">
      <c r="A619">
        <v>618</v>
      </c>
      <c r="B619" s="3" t="s">
        <v>539</v>
      </c>
      <c r="C619" s="3" t="s">
        <v>823</v>
      </c>
      <c r="D619" s="3" t="s">
        <v>1521</v>
      </c>
      <c r="E619" s="3" t="s">
        <v>307</v>
      </c>
      <c r="F619" s="1">
        <v>43107</v>
      </c>
      <c r="G619">
        <v>8</v>
      </c>
      <c r="H619" s="3" t="s">
        <v>907</v>
      </c>
      <c r="I619" s="3" t="s">
        <v>28</v>
      </c>
      <c r="J619" s="3" t="s">
        <v>18</v>
      </c>
      <c r="K619" s="3" t="s">
        <v>19</v>
      </c>
      <c r="L619">
        <v>2516</v>
      </c>
      <c r="M619" s="3" t="s">
        <v>913</v>
      </c>
      <c r="N619">
        <v>30192</v>
      </c>
      <c r="O619">
        <v>3774</v>
      </c>
      <c r="P619">
        <v>3</v>
      </c>
      <c r="Q619" s="3" t="s">
        <v>908</v>
      </c>
      <c r="R619">
        <v>6</v>
      </c>
      <c r="S619">
        <v>0</v>
      </c>
      <c r="T619" s="3" t="s">
        <v>908</v>
      </c>
      <c r="U619">
        <v>3</v>
      </c>
      <c r="V619" s="3" t="s">
        <v>917</v>
      </c>
    </row>
    <row r="620" spans="1:22" x14ac:dyDescent="0.3">
      <c r="A620">
        <v>619</v>
      </c>
      <c r="B620" s="3" t="s">
        <v>824</v>
      </c>
      <c r="C620" s="3" t="s">
        <v>825</v>
      </c>
      <c r="D620" s="3" t="s">
        <v>1522</v>
      </c>
      <c r="E620" s="3" t="s">
        <v>32</v>
      </c>
      <c r="F620" s="1">
        <v>43742</v>
      </c>
      <c r="G620">
        <v>6</v>
      </c>
      <c r="H620" s="3" t="s">
        <v>912</v>
      </c>
      <c r="I620" s="3" t="s">
        <v>41</v>
      </c>
      <c r="J620" s="3" t="s">
        <v>22</v>
      </c>
      <c r="K620" s="3" t="s">
        <v>36</v>
      </c>
      <c r="L620">
        <v>2000</v>
      </c>
      <c r="M620" s="3" t="s">
        <v>908</v>
      </c>
      <c r="N620">
        <v>24000</v>
      </c>
      <c r="O620">
        <v>4000</v>
      </c>
      <c r="P620">
        <v>3</v>
      </c>
      <c r="Q620" s="3" t="s">
        <v>908</v>
      </c>
      <c r="R620">
        <v>1</v>
      </c>
      <c r="S620">
        <v>0</v>
      </c>
      <c r="T620" s="3" t="s">
        <v>909</v>
      </c>
      <c r="U620">
        <v>0</v>
      </c>
      <c r="V620" s="3" t="s">
        <v>955</v>
      </c>
    </row>
    <row r="621" spans="1:22" x14ac:dyDescent="0.3">
      <c r="A621">
        <v>620</v>
      </c>
      <c r="B621" s="3" t="s">
        <v>489</v>
      </c>
      <c r="C621" s="3" t="s">
        <v>826</v>
      </c>
      <c r="D621" s="3" t="s">
        <v>1523</v>
      </c>
      <c r="E621" s="3" t="s">
        <v>307</v>
      </c>
      <c r="F621" s="1">
        <v>43735</v>
      </c>
      <c r="G621">
        <v>6</v>
      </c>
      <c r="H621" s="3" t="s">
        <v>912</v>
      </c>
      <c r="I621" s="3" t="s">
        <v>53</v>
      </c>
      <c r="J621" s="3" t="s">
        <v>29</v>
      </c>
      <c r="K621" s="3" t="s">
        <v>60</v>
      </c>
      <c r="L621">
        <v>2860</v>
      </c>
      <c r="M621" s="3" t="s">
        <v>913</v>
      </c>
      <c r="N621">
        <v>34320</v>
      </c>
      <c r="O621">
        <v>5720</v>
      </c>
      <c r="P621">
        <v>3</v>
      </c>
      <c r="Q621" s="3" t="s">
        <v>908</v>
      </c>
      <c r="R621">
        <v>0</v>
      </c>
      <c r="S621">
        <v>6</v>
      </c>
      <c r="T621" s="3" t="s">
        <v>908</v>
      </c>
      <c r="U621">
        <v>7</v>
      </c>
      <c r="V621" s="3" t="s">
        <v>917</v>
      </c>
    </row>
    <row r="622" spans="1:22" x14ac:dyDescent="0.3">
      <c r="A622">
        <v>621</v>
      </c>
      <c r="B622" s="3" t="s">
        <v>146</v>
      </c>
      <c r="C622" s="3" t="s">
        <v>827</v>
      </c>
      <c r="D622" s="3" t="s">
        <v>1524</v>
      </c>
      <c r="E622" s="3" t="s">
        <v>32</v>
      </c>
      <c r="F622" s="1">
        <v>43557</v>
      </c>
      <c r="G622">
        <v>7</v>
      </c>
      <c r="H622" s="3" t="s">
        <v>907</v>
      </c>
      <c r="I622" s="3" t="s">
        <v>17</v>
      </c>
      <c r="J622" s="3" t="s">
        <v>18</v>
      </c>
      <c r="K622" s="3" t="s">
        <v>898</v>
      </c>
      <c r="L622">
        <v>943</v>
      </c>
      <c r="M622" s="3" t="s">
        <v>909</v>
      </c>
      <c r="N622">
        <v>11316</v>
      </c>
      <c r="O622">
        <v>1616.5714285714287</v>
      </c>
      <c r="P622">
        <v>4.5</v>
      </c>
      <c r="Q622" s="3" t="s">
        <v>913</v>
      </c>
      <c r="R622">
        <v>0</v>
      </c>
      <c r="S622">
        <v>0</v>
      </c>
      <c r="T622" s="3" t="s">
        <v>916</v>
      </c>
      <c r="U622">
        <v>1</v>
      </c>
      <c r="V622" s="3" t="s">
        <v>917</v>
      </c>
    </row>
    <row r="623" spans="1:22" x14ac:dyDescent="0.3">
      <c r="A623">
        <v>622</v>
      </c>
      <c r="B623" s="3" t="s">
        <v>341</v>
      </c>
      <c r="C623" s="3" t="s">
        <v>828</v>
      </c>
      <c r="D623" s="3" t="s">
        <v>1525</v>
      </c>
      <c r="E623" s="3" t="s">
        <v>32</v>
      </c>
      <c r="F623" s="1">
        <v>43720</v>
      </c>
      <c r="G623">
        <v>6</v>
      </c>
      <c r="H623" s="3" t="s">
        <v>912</v>
      </c>
      <c r="I623" s="3" t="s">
        <v>17</v>
      </c>
      <c r="J623" s="3" t="s">
        <v>48</v>
      </c>
      <c r="K623" s="3" t="s">
        <v>42</v>
      </c>
      <c r="L623">
        <v>1018</v>
      </c>
      <c r="M623" s="3" t="s">
        <v>909</v>
      </c>
      <c r="N623">
        <v>12216</v>
      </c>
      <c r="O623">
        <v>2036</v>
      </c>
      <c r="P623">
        <v>2</v>
      </c>
      <c r="Q623" s="3" t="s">
        <v>909</v>
      </c>
      <c r="R623">
        <v>5</v>
      </c>
      <c r="S623">
        <v>0</v>
      </c>
      <c r="T623" s="3" t="s">
        <v>908</v>
      </c>
      <c r="U623">
        <v>10</v>
      </c>
      <c r="V623" s="3" t="s">
        <v>917</v>
      </c>
    </row>
    <row r="624" spans="1:22" x14ac:dyDescent="0.3">
      <c r="A624">
        <v>623</v>
      </c>
      <c r="B624" s="3" t="s">
        <v>116</v>
      </c>
      <c r="C624" s="3" t="s">
        <v>829</v>
      </c>
      <c r="D624" s="3" t="s">
        <v>1526</v>
      </c>
      <c r="E624" s="3" t="s">
        <v>32</v>
      </c>
      <c r="F624" s="1">
        <v>43502</v>
      </c>
      <c r="G624">
        <v>7</v>
      </c>
      <c r="H624" s="3" t="s">
        <v>907</v>
      </c>
      <c r="I624" s="3" t="s">
        <v>17</v>
      </c>
      <c r="J624" s="3" t="s">
        <v>18</v>
      </c>
      <c r="K624" s="3" t="s">
        <v>60</v>
      </c>
      <c r="L624">
        <v>1835</v>
      </c>
      <c r="M624" s="3" t="s">
        <v>908</v>
      </c>
      <c r="N624">
        <v>22020</v>
      </c>
      <c r="O624">
        <v>3145.7142857142858</v>
      </c>
      <c r="P624">
        <v>3</v>
      </c>
      <c r="Q624" s="3" t="s">
        <v>908</v>
      </c>
      <c r="R624">
        <v>1</v>
      </c>
      <c r="S624">
        <v>0</v>
      </c>
      <c r="T624" s="3" t="s">
        <v>909</v>
      </c>
      <c r="U624">
        <v>50</v>
      </c>
      <c r="V624" s="3" t="s">
        <v>910</v>
      </c>
    </row>
    <row r="625" spans="1:22" x14ac:dyDescent="0.3">
      <c r="A625">
        <v>624</v>
      </c>
      <c r="B625" s="3" t="s">
        <v>373</v>
      </c>
      <c r="C625" s="3" t="s">
        <v>830</v>
      </c>
      <c r="D625" s="3" t="s">
        <v>1527</v>
      </c>
      <c r="E625" s="3" t="s">
        <v>32</v>
      </c>
      <c r="F625" s="1">
        <v>43348</v>
      </c>
      <c r="G625">
        <v>7</v>
      </c>
      <c r="H625" s="3" t="s">
        <v>907</v>
      </c>
      <c r="I625" s="3" t="s">
        <v>77</v>
      </c>
      <c r="J625" s="3" t="s">
        <v>48</v>
      </c>
      <c r="K625" s="3" t="s">
        <v>19</v>
      </c>
      <c r="L625">
        <v>2192</v>
      </c>
      <c r="M625" s="3" t="s">
        <v>908</v>
      </c>
      <c r="N625">
        <v>26304</v>
      </c>
      <c r="O625">
        <v>3757.7142857142858</v>
      </c>
      <c r="P625">
        <v>4.5</v>
      </c>
      <c r="Q625" s="3" t="s">
        <v>913</v>
      </c>
      <c r="R625">
        <v>0</v>
      </c>
      <c r="S625">
        <v>4</v>
      </c>
      <c r="T625" s="3" t="s">
        <v>908</v>
      </c>
      <c r="U625">
        <v>1</v>
      </c>
      <c r="V625" s="3" t="s">
        <v>917</v>
      </c>
    </row>
    <row r="626" spans="1:22" x14ac:dyDescent="0.3">
      <c r="A626">
        <v>625</v>
      </c>
      <c r="B626" s="3" t="s">
        <v>831</v>
      </c>
      <c r="C626" s="3" t="s">
        <v>832</v>
      </c>
      <c r="D626" s="3" t="s">
        <v>1528</v>
      </c>
      <c r="E626" s="3" t="s">
        <v>32</v>
      </c>
      <c r="F626" s="1">
        <v>43641</v>
      </c>
      <c r="G626">
        <v>7</v>
      </c>
      <c r="H626" s="3" t="s">
        <v>907</v>
      </c>
      <c r="I626" s="3" t="s">
        <v>28</v>
      </c>
      <c r="J626" s="3" t="s">
        <v>18</v>
      </c>
      <c r="K626" s="3" t="s">
        <v>42</v>
      </c>
      <c r="L626">
        <v>2875</v>
      </c>
      <c r="M626" s="3" t="s">
        <v>913</v>
      </c>
      <c r="N626">
        <v>34500</v>
      </c>
      <c r="O626">
        <v>4928.5714285714284</v>
      </c>
      <c r="P626">
        <v>3</v>
      </c>
      <c r="Q626" s="3" t="s">
        <v>908</v>
      </c>
      <c r="R626">
        <v>0</v>
      </c>
      <c r="S626">
        <v>0</v>
      </c>
      <c r="T626" s="3" t="s">
        <v>916</v>
      </c>
      <c r="U626">
        <v>4</v>
      </c>
      <c r="V626" s="3" t="s">
        <v>917</v>
      </c>
    </row>
    <row r="627" spans="1:22" x14ac:dyDescent="0.3">
      <c r="A627">
        <v>626</v>
      </c>
      <c r="B627" s="3" t="s">
        <v>69</v>
      </c>
      <c r="C627" s="3" t="s">
        <v>832</v>
      </c>
      <c r="D627" s="3" t="s">
        <v>1529</v>
      </c>
      <c r="E627" s="3" t="s">
        <v>32</v>
      </c>
      <c r="F627" s="1">
        <v>43737</v>
      </c>
      <c r="G627">
        <v>6</v>
      </c>
      <c r="H627" s="3" t="s">
        <v>912</v>
      </c>
      <c r="I627" s="3" t="s">
        <v>58</v>
      </c>
      <c r="J627" s="3" t="s">
        <v>22</v>
      </c>
      <c r="K627" s="3" t="s">
        <v>19</v>
      </c>
      <c r="L627">
        <v>1332</v>
      </c>
      <c r="M627" s="3" t="s">
        <v>909</v>
      </c>
      <c r="N627">
        <v>15984</v>
      </c>
      <c r="O627">
        <v>2664</v>
      </c>
      <c r="P627">
        <v>2</v>
      </c>
      <c r="Q627" s="3" t="s">
        <v>909</v>
      </c>
      <c r="R627">
        <v>0</v>
      </c>
      <c r="S627">
        <v>0</v>
      </c>
      <c r="T627" s="3" t="s">
        <v>916</v>
      </c>
      <c r="U627">
        <v>14</v>
      </c>
      <c r="V627" s="3" t="s">
        <v>910</v>
      </c>
    </row>
    <row r="628" spans="1:22" x14ac:dyDescent="0.3">
      <c r="A628">
        <v>627</v>
      </c>
      <c r="B628" s="3" t="s">
        <v>33</v>
      </c>
      <c r="C628" s="3" t="s">
        <v>833</v>
      </c>
      <c r="D628" s="3" t="s">
        <v>1530</v>
      </c>
      <c r="E628" s="3" t="s">
        <v>32</v>
      </c>
      <c r="F628" s="1">
        <v>43071</v>
      </c>
      <c r="G628">
        <v>8</v>
      </c>
      <c r="H628" s="3" t="s">
        <v>907</v>
      </c>
      <c r="I628" s="3" t="s">
        <v>50</v>
      </c>
      <c r="J628" s="3" t="s">
        <v>22</v>
      </c>
      <c r="K628" s="3" t="s">
        <v>36</v>
      </c>
      <c r="L628">
        <v>2023</v>
      </c>
      <c r="M628" s="3" t="s">
        <v>908</v>
      </c>
      <c r="N628">
        <v>24276</v>
      </c>
      <c r="O628">
        <v>3034.5</v>
      </c>
      <c r="P628">
        <v>5</v>
      </c>
      <c r="Q628" s="3" t="s">
        <v>913</v>
      </c>
      <c r="R628">
        <v>6</v>
      </c>
      <c r="S628">
        <v>0</v>
      </c>
      <c r="T628" s="3" t="s">
        <v>908</v>
      </c>
      <c r="U628">
        <v>5</v>
      </c>
      <c r="V628" s="3" t="s">
        <v>917</v>
      </c>
    </row>
    <row r="629" spans="1:22" x14ac:dyDescent="0.3">
      <c r="A629">
        <v>628</v>
      </c>
      <c r="B629" s="3" t="s">
        <v>33</v>
      </c>
      <c r="C629" s="3" t="s">
        <v>834</v>
      </c>
      <c r="D629" s="3" t="s">
        <v>1531</v>
      </c>
      <c r="E629" s="3" t="s">
        <v>32</v>
      </c>
      <c r="F629" s="1">
        <v>44156</v>
      </c>
      <c r="G629">
        <v>5</v>
      </c>
      <c r="H629" s="3" t="s">
        <v>912</v>
      </c>
      <c r="I629" s="3" t="s">
        <v>77</v>
      </c>
      <c r="J629" s="3" t="s">
        <v>18</v>
      </c>
      <c r="K629" s="3" t="s">
        <v>898</v>
      </c>
      <c r="L629">
        <v>2094</v>
      </c>
      <c r="M629" s="3" t="s">
        <v>908</v>
      </c>
      <c r="N629">
        <v>25128</v>
      </c>
      <c r="O629">
        <v>5025.6000000000004</v>
      </c>
      <c r="P629">
        <v>4.5</v>
      </c>
      <c r="Q629" s="3" t="s">
        <v>913</v>
      </c>
      <c r="R629">
        <v>6</v>
      </c>
      <c r="S629">
        <v>5</v>
      </c>
      <c r="T629" s="3" t="s">
        <v>913</v>
      </c>
      <c r="U629">
        <v>2</v>
      </c>
      <c r="V629" s="3" t="s">
        <v>917</v>
      </c>
    </row>
    <row r="630" spans="1:22" x14ac:dyDescent="0.3">
      <c r="A630">
        <v>629</v>
      </c>
      <c r="B630" s="3" t="s">
        <v>33</v>
      </c>
      <c r="C630" s="3" t="s">
        <v>835</v>
      </c>
      <c r="D630" s="3" t="s">
        <v>1532</v>
      </c>
      <c r="E630" s="3" t="s">
        <v>32</v>
      </c>
      <c r="F630" s="1">
        <v>43617</v>
      </c>
      <c r="G630">
        <v>7</v>
      </c>
      <c r="H630" s="3" t="s">
        <v>907</v>
      </c>
      <c r="I630" s="3" t="s">
        <v>45</v>
      </c>
      <c r="J630" s="3" t="s">
        <v>22</v>
      </c>
      <c r="K630" s="3" t="s">
        <v>36</v>
      </c>
      <c r="L630">
        <v>3006</v>
      </c>
      <c r="M630" s="3" t="s">
        <v>913</v>
      </c>
      <c r="N630">
        <v>36072</v>
      </c>
      <c r="O630">
        <v>5153.1428571428569</v>
      </c>
      <c r="P630">
        <v>4.5</v>
      </c>
      <c r="Q630" s="3" t="s">
        <v>913</v>
      </c>
      <c r="R630">
        <v>0</v>
      </c>
      <c r="S630">
        <v>3</v>
      </c>
      <c r="T630" s="3" t="s">
        <v>909</v>
      </c>
      <c r="U630">
        <v>7</v>
      </c>
      <c r="V630" s="3" t="s">
        <v>917</v>
      </c>
    </row>
    <row r="631" spans="1:22" x14ac:dyDescent="0.3">
      <c r="A631">
        <v>630</v>
      </c>
      <c r="B631" s="3" t="s">
        <v>836</v>
      </c>
      <c r="C631" s="3" t="s">
        <v>837</v>
      </c>
      <c r="D631" s="3" t="s">
        <v>1533</v>
      </c>
      <c r="E631" s="3" t="s">
        <v>32</v>
      </c>
      <c r="F631" s="1">
        <v>43795</v>
      </c>
      <c r="G631">
        <v>6</v>
      </c>
      <c r="H631" s="3" t="s">
        <v>912</v>
      </c>
      <c r="I631" s="3" t="s">
        <v>28</v>
      </c>
      <c r="J631" s="3" t="s">
        <v>29</v>
      </c>
      <c r="K631" s="3" t="s">
        <v>42</v>
      </c>
      <c r="L631">
        <v>2717</v>
      </c>
      <c r="M631" s="3" t="s">
        <v>913</v>
      </c>
      <c r="N631">
        <v>32604</v>
      </c>
      <c r="O631">
        <v>5434</v>
      </c>
      <c r="P631">
        <v>5</v>
      </c>
      <c r="Q631" s="3" t="s">
        <v>913</v>
      </c>
      <c r="R631">
        <v>0</v>
      </c>
      <c r="S631">
        <v>0</v>
      </c>
      <c r="T631" s="3" t="s">
        <v>916</v>
      </c>
      <c r="U631">
        <v>7</v>
      </c>
      <c r="V631" s="3" t="s">
        <v>917</v>
      </c>
    </row>
    <row r="632" spans="1:22" x14ac:dyDescent="0.3">
      <c r="A632">
        <v>631</v>
      </c>
      <c r="B632" s="3" t="s">
        <v>833</v>
      </c>
      <c r="C632" s="3" t="s">
        <v>838</v>
      </c>
      <c r="D632" s="3" t="s">
        <v>1534</v>
      </c>
      <c r="E632" s="3" t="s">
        <v>32</v>
      </c>
      <c r="F632" s="1">
        <v>43326</v>
      </c>
      <c r="G632">
        <v>8</v>
      </c>
      <c r="H632" s="3" t="s">
        <v>907</v>
      </c>
      <c r="I632" s="3" t="s">
        <v>76</v>
      </c>
      <c r="J632" s="3" t="s">
        <v>29</v>
      </c>
      <c r="K632" s="3" t="s">
        <v>42</v>
      </c>
      <c r="L632">
        <v>3135</v>
      </c>
      <c r="M632" s="3" t="s">
        <v>913</v>
      </c>
      <c r="N632">
        <v>37620</v>
      </c>
      <c r="O632">
        <v>4702.5</v>
      </c>
      <c r="P632">
        <v>3</v>
      </c>
      <c r="Q632" s="3" t="s">
        <v>908</v>
      </c>
      <c r="R632">
        <v>1</v>
      </c>
      <c r="S632">
        <v>0</v>
      </c>
      <c r="T632" s="3" t="s">
        <v>909</v>
      </c>
      <c r="U632">
        <v>5</v>
      </c>
      <c r="V632" s="3" t="s">
        <v>917</v>
      </c>
    </row>
    <row r="633" spans="1:22" x14ac:dyDescent="0.3">
      <c r="A633">
        <v>632</v>
      </c>
      <c r="B633" s="3" t="s">
        <v>59</v>
      </c>
      <c r="C633" s="3" t="s">
        <v>46</v>
      </c>
      <c r="D633" s="3" t="s">
        <v>1535</v>
      </c>
      <c r="E633" s="3" t="s">
        <v>307</v>
      </c>
      <c r="F633" s="1">
        <v>43776</v>
      </c>
      <c r="G633">
        <v>6</v>
      </c>
      <c r="H633" s="3" t="s">
        <v>912</v>
      </c>
      <c r="I633" s="3" t="s">
        <v>41</v>
      </c>
      <c r="J633" s="3" t="s">
        <v>29</v>
      </c>
      <c r="K633" s="3" t="s">
        <v>36</v>
      </c>
      <c r="L633">
        <v>2334</v>
      </c>
      <c r="M633" s="3" t="s">
        <v>908</v>
      </c>
      <c r="N633">
        <v>28008</v>
      </c>
      <c r="O633">
        <v>4668</v>
      </c>
      <c r="P633">
        <v>1</v>
      </c>
      <c r="Q633" s="3" t="s">
        <v>909</v>
      </c>
      <c r="R633">
        <v>2</v>
      </c>
      <c r="S633">
        <v>0</v>
      </c>
      <c r="T633" s="3" t="s">
        <v>909</v>
      </c>
      <c r="U633">
        <v>2</v>
      </c>
      <c r="V633" s="3" t="s">
        <v>917</v>
      </c>
    </row>
    <row r="634" spans="1:22" x14ac:dyDescent="0.3">
      <c r="A634">
        <v>633</v>
      </c>
      <c r="B634" s="3" t="s">
        <v>172</v>
      </c>
      <c r="C634" s="3" t="s">
        <v>46</v>
      </c>
      <c r="D634" s="3" t="s">
        <v>1536</v>
      </c>
      <c r="E634" s="3" t="s">
        <v>307</v>
      </c>
      <c r="F634" s="1">
        <v>43487</v>
      </c>
      <c r="G634">
        <v>7</v>
      </c>
      <c r="H634" s="3" t="s">
        <v>907</v>
      </c>
      <c r="I634" s="3" t="s">
        <v>41</v>
      </c>
      <c r="J634" s="3" t="s">
        <v>18</v>
      </c>
      <c r="K634" s="3" t="s">
        <v>36</v>
      </c>
      <c r="L634">
        <v>1661</v>
      </c>
      <c r="M634" s="3" t="s">
        <v>908</v>
      </c>
      <c r="N634">
        <v>19932</v>
      </c>
      <c r="O634">
        <v>2847.4285714285716</v>
      </c>
      <c r="P634">
        <v>5</v>
      </c>
      <c r="Q634" s="3" t="s">
        <v>913</v>
      </c>
      <c r="R634">
        <v>4</v>
      </c>
      <c r="S634">
        <v>0</v>
      </c>
      <c r="T634" s="3" t="s">
        <v>908</v>
      </c>
      <c r="U634">
        <v>9</v>
      </c>
      <c r="V634" s="3" t="s">
        <v>917</v>
      </c>
    </row>
    <row r="635" spans="1:22" x14ac:dyDescent="0.3">
      <c r="A635">
        <v>634</v>
      </c>
      <c r="B635" s="3" t="s">
        <v>56</v>
      </c>
      <c r="C635" s="3" t="s">
        <v>839</v>
      </c>
      <c r="D635" s="3" t="s">
        <v>1537</v>
      </c>
      <c r="E635" s="3" t="s">
        <v>307</v>
      </c>
      <c r="F635" s="1">
        <v>43595</v>
      </c>
      <c r="G635">
        <v>7</v>
      </c>
      <c r="H635" s="3" t="s">
        <v>907</v>
      </c>
      <c r="I635" s="3" t="s">
        <v>353</v>
      </c>
      <c r="J635" s="3" t="s">
        <v>18</v>
      </c>
      <c r="K635" s="3" t="s">
        <v>898</v>
      </c>
      <c r="L635">
        <v>1230</v>
      </c>
      <c r="M635" s="3" t="s">
        <v>909</v>
      </c>
      <c r="N635">
        <v>14760</v>
      </c>
      <c r="O635">
        <v>2108.5714285714284</v>
      </c>
      <c r="P635">
        <v>5</v>
      </c>
      <c r="Q635" s="3" t="s">
        <v>913</v>
      </c>
      <c r="R635">
        <v>0</v>
      </c>
      <c r="S635">
        <v>6</v>
      </c>
      <c r="T635" s="3" t="s">
        <v>908</v>
      </c>
      <c r="U635">
        <v>5</v>
      </c>
      <c r="V635" s="3" t="s">
        <v>917</v>
      </c>
    </row>
    <row r="636" spans="1:22" x14ac:dyDescent="0.3">
      <c r="A636">
        <v>635</v>
      </c>
      <c r="B636" s="3" t="s">
        <v>37</v>
      </c>
      <c r="C636" s="3" t="s">
        <v>257</v>
      </c>
      <c r="D636" s="3" t="s">
        <v>1538</v>
      </c>
      <c r="E636" s="3" t="s">
        <v>307</v>
      </c>
      <c r="F636" s="1">
        <v>42434</v>
      </c>
      <c r="G636">
        <v>10</v>
      </c>
      <c r="H636" s="3" t="s">
        <v>920</v>
      </c>
      <c r="I636" s="3" t="s">
        <v>39</v>
      </c>
      <c r="J636" s="3" t="s">
        <v>22</v>
      </c>
      <c r="K636" s="3" t="s">
        <v>42</v>
      </c>
      <c r="L636">
        <v>1483</v>
      </c>
      <c r="M636" s="3" t="s">
        <v>909</v>
      </c>
      <c r="N636">
        <v>17796</v>
      </c>
      <c r="O636">
        <v>1779.6</v>
      </c>
      <c r="P636">
        <v>5</v>
      </c>
      <c r="Q636" s="3" t="s">
        <v>913</v>
      </c>
      <c r="R636">
        <v>0</v>
      </c>
      <c r="S636">
        <v>2</v>
      </c>
      <c r="T636" s="3" t="s">
        <v>909</v>
      </c>
      <c r="U636">
        <v>8</v>
      </c>
      <c r="V636" s="3" t="s">
        <v>917</v>
      </c>
    </row>
    <row r="637" spans="1:22" x14ac:dyDescent="0.3">
      <c r="A637">
        <v>636</v>
      </c>
      <c r="B637" s="3" t="s">
        <v>124</v>
      </c>
      <c r="C637" s="3" t="s">
        <v>840</v>
      </c>
      <c r="D637" s="3" t="s">
        <v>1539</v>
      </c>
      <c r="E637" s="3" t="s">
        <v>32</v>
      </c>
      <c r="F637" s="1">
        <v>43614</v>
      </c>
      <c r="G637">
        <v>7</v>
      </c>
      <c r="H637" s="3" t="s">
        <v>907</v>
      </c>
      <c r="I637" s="3" t="s">
        <v>17</v>
      </c>
      <c r="J637" s="3" t="s">
        <v>29</v>
      </c>
      <c r="K637" s="3" t="s">
        <v>36</v>
      </c>
      <c r="L637">
        <v>2462</v>
      </c>
      <c r="M637" s="3" t="s">
        <v>908</v>
      </c>
      <c r="N637">
        <v>29544</v>
      </c>
      <c r="O637">
        <v>4220.5714285714284</v>
      </c>
      <c r="P637">
        <v>3</v>
      </c>
      <c r="Q637" s="3" t="s">
        <v>908</v>
      </c>
      <c r="R637">
        <v>6</v>
      </c>
      <c r="S637">
        <v>3</v>
      </c>
      <c r="T637" s="3" t="s">
        <v>913</v>
      </c>
      <c r="U637">
        <v>2</v>
      </c>
      <c r="V637" s="3" t="s">
        <v>917</v>
      </c>
    </row>
    <row r="638" spans="1:22" x14ac:dyDescent="0.3">
      <c r="A638">
        <v>637</v>
      </c>
      <c r="B638" s="3" t="s">
        <v>718</v>
      </c>
      <c r="C638" s="3" t="s">
        <v>841</v>
      </c>
      <c r="D638" s="3" t="s">
        <v>1540</v>
      </c>
      <c r="E638" s="3" t="s">
        <v>307</v>
      </c>
      <c r="F638" s="1">
        <v>44194</v>
      </c>
      <c r="G638">
        <v>5</v>
      </c>
      <c r="H638" s="3" t="s">
        <v>912</v>
      </c>
      <c r="I638" s="3" t="s">
        <v>77</v>
      </c>
      <c r="J638" s="3" t="s">
        <v>18</v>
      </c>
      <c r="K638" s="3" t="s">
        <v>898</v>
      </c>
      <c r="L638">
        <v>2180</v>
      </c>
      <c r="M638" s="3" t="s">
        <v>908</v>
      </c>
      <c r="N638">
        <v>26160</v>
      </c>
      <c r="O638">
        <v>5232</v>
      </c>
      <c r="P638">
        <v>5</v>
      </c>
      <c r="Q638" s="3" t="s">
        <v>913</v>
      </c>
      <c r="R638">
        <v>3</v>
      </c>
      <c r="S638">
        <v>0</v>
      </c>
      <c r="T638" s="3" t="s">
        <v>909</v>
      </c>
      <c r="U638">
        <v>0</v>
      </c>
      <c r="V638" s="3" t="s">
        <v>955</v>
      </c>
    </row>
    <row r="639" spans="1:22" x14ac:dyDescent="0.3">
      <c r="A639">
        <v>638</v>
      </c>
      <c r="B639" s="3" t="s">
        <v>212</v>
      </c>
      <c r="C639" s="3" t="s">
        <v>842</v>
      </c>
      <c r="D639" s="3" t="s">
        <v>1541</v>
      </c>
      <c r="E639" s="3" t="s">
        <v>307</v>
      </c>
      <c r="F639" s="1">
        <v>42576</v>
      </c>
      <c r="G639">
        <v>10</v>
      </c>
      <c r="H639" s="3" t="s">
        <v>920</v>
      </c>
      <c r="I639" s="3" t="s">
        <v>118</v>
      </c>
      <c r="J639" s="3" t="s">
        <v>18</v>
      </c>
      <c r="K639" s="3" t="s">
        <v>36</v>
      </c>
      <c r="L639">
        <v>943</v>
      </c>
      <c r="M639" s="3" t="s">
        <v>909</v>
      </c>
      <c r="N639">
        <v>11316</v>
      </c>
      <c r="O639">
        <v>1131.5999999999999</v>
      </c>
      <c r="P639">
        <v>5</v>
      </c>
      <c r="Q639" s="3" t="s">
        <v>913</v>
      </c>
      <c r="R639">
        <v>0</v>
      </c>
      <c r="S639">
        <v>4</v>
      </c>
      <c r="T639" s="3" t="s">
        <v>908</v>
      </c>
      <c r="U639">
        <v>7</v>
      </c>
      <c r="V639" s="3" t="s">
        <v>917</v>
      </c>
    </row>
    <row r="640" spans="1:22" x14ac:dyDescent="0.3">
      <c r="A640">
        <v>639</v>
      </c>
      <c r="B640" s="3" t="s">
        <v>20</v>
      </c>
      <c r="C640" s="3" t="s">
        <v>843</v>
      </c>
      <c r="D640" s="3" t="s">
        <v>1542</v>
      </c>
      <c r="E640" s="3" t="s">
        <v>32</v>
      </c>
      <c r="F640" s="1">
        <v>43688</v>
      </c>
      <c r="G640">
        <v>7</v>
      </c>
      <c r="H640" s="3" t="s">
        <v>907</v>
      </c>
      <c r="I640" s="3" t="s">
        <v>25</v>
      </c>
      <c r="J640" s="3" t="s">
        <v>18</v>
      </c>
      <c r="K640" s="3" t="s">
        <v>42</v>
      </c>
      <c r="L640">
        <v>2489</v>
      </c>
      <c r="M640" s="3" t="s">
        <v>908</v>
      </c>
      <c r="N640">
        <v>29868</v>
      </c>
      <c r="O640">
        <v>4266.8571428571431</v>
      </c>
      <c r="P640">
        <v>3</v>
      </c>
      <c r="Q640" s="3" t="s">
        <v>908</v>
      </c>
      <c r="R640">
        <v>6</v>
      </c>
      <c r="S640">
        <v>0</v>
      </c>
      <c r="T640" s="3" t="s">
        <v>908</v>
      </c>
      <c r="U640">
        <v>3</v>
      </c>
      <c r="V640" s="3" t="s">
        <v>917</v>
      </c>
    </row>
    <row r="641" spans="1:22" x14ac:dyDescent="0.3">
      <c r="A641">
        <v>640</v>
      </c>
      <c r="B641" s="3" t="s">
        <v>195</v>
      </c>
      <c r="C641" s="3" t="s">
        <v>844</v>
      </c>
      <c r="D641" s="3" t="s">
        <v>1543</v>
      </c>
      <c r="E641" s="3" t="s">
        <v>32</v>
      </c>
      <c r="F641" s="1">
        <v>43781</v>
      </c>
      <c r="G641">
        <v>6</v>
      </c>
      <c r="H641" s="3" t="s">
        <v>912</v>
      </c>
      <c r="I641" s="3" t="s">
        <v>35</v>
      </c>
      <c r="J641" s="3" t="s">
        <v>18</v>
      </c>
      <c r="K641" s="3" t="s">
        <v>60</v>
      </c>
      <c r="L641">
        <v>2279</v>
      </c>
      <c r="M641" s="3" t="s">
        <v>908</v>
      </c>
      <c r="N641">
        <v>27348</v>
      </c>
      <c r="O641">
        <v>4558</v>
      </c>
      <c r="P641">
        <v>5</v>
      </c>
      <c r="Q641" s="3" t="s">
        <v>913</v>
      </c>
      <c r="R641">
        <v>0</v>
      </c>
      <c r="S641">
        <v>0</v>
      </c>
      <c r="T641" s="3" t="s">
        <v>916</v>
      </c>
      <c r="U641">
        <v>4</v>
      </c>
      <c r="V641" s="3" t="s">
        <v>917</v>
      </c>
    </row>
    <row r="642" spans="1:22" x14ac:dyDescent="0.3">
      <c r="A642">
        <v>641</v>
      </c>
      <c r="B642" s="3" t="s">
        <v>651</v>
      </c>
      <c r="C642" s="3" t="s">
        <v>627</v>
      </c>
      <c r="D642" s="3" t="s">
        <v>1544</v>
      </c>
      <c r="E642" s="3" t="s">
        <v>307</v>
      </c>
      <c r="F642" s="1">
        <v>43479</v>
      </c>
      <c r="G642">
        <v>7</v>
      </c>
      <c r="H642" s="3" t="s">
        <v>907</v>
      </c>
      <c r="I642" s="3" t="s">
        <v>77</v>
      </c>
      <c r="J642" s="3" t="s">
        <v>22</v>
      </c>
      <c r="K642" s="3" t="s">
        <v>42</v>
      </c>
      <c r="L642">
        <v>840</v>
      </c>
      <c r="M642" s="3" t="s">
        <v>909</v>
      </c>
      <c r="N642">
        <v>10080</v>
      </c>
      <c r="O642">
        <v>1440</v>
      </c>
      <c r="P642">
        <v>3</v>
      </c>
      <c r="Q642" s="3" t="s">
        <v>908</v>
      </c>
      <c r="R642">
        <v>4</v>
      </c>
      <c r="S642">
        <v>0</v>
      </c>
      <c r="T642" s="3" t="s">
        <v>908</v>
      </c>
      <c r="U642">
        <v>10</v>
      </c>
      <c r="V642" s="3" t="s">
        <v>917</v>
      </c>
    </row>
    <row r="643" spans="1:22" x14ac:dyDescent="0.3">
      <c r="A643">
        <v>642</v>
      </c>
      <c r="B643" s="3" t="s">
        <v>845</v>
      </c>
      <c r="C643" s="3" t="s">
        <v>283</v>
      </c>
      <c r="D643" s="3" t="s">
        <v>1545</v>
      </c>
      <c r="E643" s="3" t="s">
        <v>32</v>
      </c>
      <c r="F643" s="1">
        <v>43511</v>
      </c>
      <c r="G643">
        <v>7</v>
      </c>
      <c r="H643" s="3" t="s">
        <v>907</v>
      </c>
      <c r="I643" s="3" t="s">
        <v>17</v>
      </c>
      <c r="J643" s="3" t="s">
        <v>18</v>
      </c>
      <c r="K643" s="3" t="s">
        <v>36</v>
      </c>
      <c r="L643">
        <v>1601</v>
      </c>
      <c r="M643" s="3" t="s">
        <v>908</v>
      </c>
      <c r="N643">
        <v>19212</v>
      </c>
      <c r="O643">
        <v>2744.5714285714284</v>
      </c>
      <c r="P643">
        <v>5</v>
      </c>
      <c r="Q643" s="3" t="s">
        <v>913</v>
      </c>
      <c r="R643">
        <v>0</v>
      </c>
      <c r="S643">
        <v>0</v>
      </c>
      <c r="T643" s="3" t="s">
        <v>916</v>
      </c>
      <c r="U643">
        <v>3</v>
      </c>
      <c r="V643" s="3" t="s">
        <v>917</v>
      </c>
    </row>
    <row r="644" spans="1:22" x14ac:dyDescent="0.3">
      <c r="A644">
        <v>643</v>
      </c>
      <c r="B644" s="3" t="s">
        <v>219</v>
      </c>
      <c r="C644" s="3" t="s">
        <v>618</v>
      </c>
      <c r="D644" s="3" t="s">
        <v>1546</v>
      </c>
      <c r="E644" s="3" t="s">
        <v>32</v>
      </c>
      <c r="F644" s="1">
        <v>43218</v>
      </c>
      <c r="G644">
        <v>8</v>
      </c>
      <c r="H644" s="3" t="s">
        <v>907</v>
      </c>
      <c r="I644" s="3" t="s">
        <v>41</v>
      </c>
      <c r="J644" s="3" t="s">
        <v>18</v>
      </c>
      <c r="K644" s="3" t="s">
        <v>36</v>
      </c>
      <c r="L644">
        <v>1414</v>
      </c>
      <c r="M644" s="3" t="s">
        <v>909</v>
      </c>
      <c r="N644">
        <v>16968</v>
      </c>
      <c r="O644">
        <v>2121</v>
      </c>
      <c r="P644">
        <v>5</v>
      </c>
      <c r="Q644" s="3" t="s">
        <v>913</v>
      </c>
      <c r="R644">
        <v>4</v>
      </c>
      <c r="S644">
        <v>0</v>
      </c>
      <c r="T644" s="3" t="s">
        <v>908</v>
      </c>
      <c r="U644">
        <v>10</v>
      </c>
      <c r="V644" s="3" t="s">
        <v>917</v>
      </c>
    </row>
    <row r="645" spans="1:22" x14ac:dyDescent="0.3">
      <c r="A645">
        <v>644</v>
      </c>
      <c r="B645" s="3" t="s">
        <v>151</v>
      </c>
      <c r="C645" s="3" t="s">
        <v>846</v>
      </c>
      <c r="D645" s="3" t="s">
        <v>1547</v>
      </c>
      <c r="E645" s="3" t="s">
        <v>32</v>
      </c>
      <c r="F645" s="1">
        <v>43915</v>
      </c>
      <c r="G645">
        <v>6</v>
      </c>
      <c r="H645" s="3" t="s">
        <v>912</v>
      </c>
      <c r="I645" s="3" t="s">
        <v>50</v>
      </c>
      <c r="J645" s="3" t="s">
        <v>29</v>
      </c>
      <c r="K645" s="3" t="s">
        <v>36</v>
      </c>
      <c r="L645">
        <v>905</v>
      </c>
      <c r="M645" s="3" t="s">
        <v>909</v>
      </c>
      <c r="N645">
        <v>10860</v>
      </c>
      <c r="O645">
        <v>1810</v>
      </c>
      <c r="P645">
        <v>3</v>
      </c>
      <c r="Q645" s="3" t="s">
        <v>908</v>
      </c>
      <c r="R645">
        <v>0</v>
      </c>
      <c r="S645">
        <v>0</v>
      </c>
      <c r="T645" s="3" t="s">
        <v>916</v>
      </c>
      <c r="U645">
        <v>8</v>
      </c>
      <c r="V645" s="3" t="s">
        <v>917</v>
      </c>
    </row>
    <row r="646" spans="1:22" x14ac:dyDescent="0.3">
      <c r="A646">
        <v>645</v>
      </c>
      <c r="B646" s="3" t="s">
        <v>847</v>
      </c>
      <c r="C646" s="3" t="s">
        <v>323</v>
      </c>
      <c r="D646" s="3" t="s">
        <v>1548</v>
      </c>
      <c r="E646" s="3" t="s">
        <v>307</v>
      </c>
      <c r="F646" s="1">
        <v>43894</v>
      </c>
      <c r="G646">
        <v>6</v>
      </c>
      <c r="H646" s="3" t="s">
        <v>912</v>
      </c>
      <c r="I646" s="3" t="s">
        <v>53</v>
      </c>
      <c r="J646" s="3" t="s">
        <v>29</v>
      </c>
      <c r="K646" s="3" t="s">
        <v>36</v>
      </c>
      <c r="L646">
        <v>2525</v>
      </c>
      <c r="M646" s="3" t="s">
        <v>913</v>
      </c>
      <c r="N646">
        <v>30300</v>
      </c>
      <c r="O646">
        <v>5050</v>
      </c>
      <c r="P646">
        <v>3</v>
      </c>
      <c r="Q646" s="3" t="s">
        <v>908</v>
      </c>
      <c r="R646">
        <v>0</v>
      </c>
      <c r="S646">
        <v>0</v>
      </c>
      <c r="T646" s="3" t="s">
        <v>916</v>
      </c>
      <c r="U646">
        <v>10</v>
      </c>
      <c r="V646" s="3" t="s">
        <v>917</v>
      </c>
    </row>
    <row r="647" spans="1:22" x14ac:dyDescent="0.3">
      <c r="A647">
        <v>646</v>
      </c>
      <c r="B647" s="3" t="s">
        <v>33</v>
      </c>
      <c r="C647" s="3" t="s">
        <v>165</v>
      </c>
      <c r="D647" s="3" t="s">
        <v>1046</v>
      </c>
      <c r="E647" s="3" t="s">
        <v>32</v>
      </c>
      <c r="F647" s="1">
        <v>43245</v>
      </c>
      <c r="G647">
        <v>8</v>
      </c>
      <c r="H647" s="3" t="s">
        <v>907</v>
      </c>
      <c r="I647" s="3" t="s">
        <v>39</v>
      </c>
      <c r="J647" s="3" t="s">
        <v>18</v>
      </c>
      <c r="K647" s="3" t="s">
        <v>36</v>
      </c>
      <c r="L647">
        <v>1412</v>
      </c>
      <c r="M647" s="3" t="s">
        <v>909</v>
      </c>
      <c r="N647">
        <v>16944</v>
      </c>
      <c r="O647">
        <v>2118</v>
      </c>
      <c r="P647">
        <v>2</v>
      </c>
      <c r="Q647" s="3" t="s">
        <v>909</v>
      </c>
      <c r="R647">
        <v>0</v>
      </c>
      <c r="S647">
        <v>0</v>
      </c>
      <c r="T647" s="3" t="s">
        <v>916</v>
      </c>
      <c r="U647">
        <v>7</v>
      </c>
      <c r="V647" s="3" t="s">
        <v>917</v>
      </c>
    </row>
    <row r="648" spans="1:22" x14ac:dyDescent="0.3">
      <c r="A648">
        <v>647</v>
      </c>
      <c r="B648" s="3" t="s">
        <v>327</v>
      </c>
      <c r="C648" s="3" t="s">
        <v>848</v>
      </c>
      <c r="D648" s="3" t="s">
        <v>1549</v>
      </c>
      <c r="E648" s="3" t="s">
        <v>32</v>
      </c>
      <c r="F648" s="1">
        <v>43834</v>
      </c>
      <c r="G648">
        <v>6</v>
      </c>
      <c r="H648" s="3" t="s">
        <v>912</v>
      </c>
      <c r="I648" s="3" t="s">
        <v>28</v>
      </c>
      <c r="J648" s="3" t="s">
        <v>48</v>
      </c>
      <c r="K648" s="3" t="s">
        <v>42</v>
      </c>
      <c r="L648">
        <v>2397</v>
      </c>
      <c r="M648" s="3" t="s">
        <v>908</v>
      </c>
      <c r="N648">
        <v>28764</v>
      </c>
      <c r="O648">
        <v>4794</v>
      </c>
      <c r="P648">
        <v>3</v>
      </c>
      <c r="Q648" s="3" t="s">
        <v>908</v>
      </c>
      <c r="R648">
        <v>0</v>
      </c>
      <c r="S648">
        <v>0</v>
      </c>
      <c r="T648" s="3" t="s">
        <v>916</v>
      </c>
      <c r="U648">
        <v>100</v>
      </c>
      <c r="V648" s="3" t="s">
        <v>910</v>
      </c>
    </row>
    <row r="649" spans="1:22" x14ac:dyDescent="0.3">
      <c r="A649">
        <v>648</v>
      </c>
      <c r="B649" s="3" t="s">
        <v>33</v>
      </c>
      <c r="C649" s="3" t="s">
        <v>849</v>
      </c>
      <c r="D649" s="3" t="s">
        <v>1550</v>
      </c>
      <c r="E649" s="3" t="s">
        <v>32</v>
      </c>
      <c r="F649" s="1">
        <v>44055</v>
      </c>
      <c r="G649">
        <v>6</v>
      </c>
      <c r="H649" s="3" t="s">
        <v>912</v>
      </c>
      <c r="I649" s="3" t="s">
        <v>41</v>
      </c>
      <c r="J649" s="3" t="s">
        <v>18</v>
      </c>
      <c r="K649" s="3" t="s">
        <v>36</v>
      </c>
      <c r="L649">
        <v>1153</v>
      </c>
      <c r="M649" s="3" t="s">
        <v>909</v>
      </c>
      <c r="N649">
        <v>13836</v>
      </c>
      <c r="O649">
        <v>2306</v>
      </c>
      <c r="P649">
        <v>4.5</v>
      </c>
      <c r="Q649" s="3" t="s">
        <v>913</v>
      </c>
      <c r="R649">
        <v>0</v>
      </c>
      <c r="S649">
        <v>2</v>
      </c>
      <c r="T649" s="3" t="s">
        <v>909</v>
      </c>
      <c r="U649">
        <v>10</v>
      </c>
      <c r="V649" s="3" t="s">
        <v>917</v>
      </c>
    </row>
    <row r="650" spans="1:22" x14ac:dyDescent="0.3">
      <c r="A650">
        <v>649</v>
      </c>
      <c r="B650" s="3" t="s">
        <v>170</v>
      </c>
      <c r="C650" s="3" t="s">
        <v>850</v>
      </c>
      <c r="D650" s="3" t="s">
        <v>1551</v>
      </c>
      <c r="E650" s="3" t="s">
        <v>32</v>
      </c>
      <c r="F650" s="1">
        <v>42952</v>
      </c>
      <c r="G650">
        <v>9</v>
      </c>
      <c r="H650" s="3" t="s">
        <v>920</v>
      </c>
      <c r="I650" s="3" t="s">
        <v>41</v>
      </c>
      <c r="J650" s="3" t="s">
        <v>18</v>
      </c>
      <c r="K650" s="3" t="s">
        <v>36</v>
      </c>
      <c r="L650">
        <v>2091</v>
      </c>
      <c r="M650" s="3" t="s">
        <v>908</v>
      </c>
      <c r="N650">
        <v>25092</v>
      </c>
      <c r="O650">
        <v>2788</v>
      </c>
      <c r="P650">
        <v>2</v>
      </c>
      <c r="Q650" s="3" t="s">
        <v>909</v>
      </c>
      <c r="R650">
        <v>0</v>
      </c>
      <c r="S650">
        <v>0</v>
      </c>
      <c r="T650" s="3" t="s">
        <v>916</v>
      </c>
      <c r="U650">
        <v>6</v>
      </c>
      <c r="V650" s="3" t="s">
        <v>917</v>
      </c>
    </row>
    <row r="651" spans="1:22" x14ac:dyDescent="0.3">
      <c r="A651">
        <v>650</v>
      </c>
      <c r="B651" s="3" t="s">
        <v>20</v>
      </c>
      <c r="C651" s="3" t="s">
        <v>851</v>
      </c>
      <c r="D651" s="3" t="s">
        <v>1552</v>
      </c>
      <c r="E651" s="3" t="s">
        <v>32</v>
      </c>
      <c r="F651" s="1">
        <v>44011</v>
      </c>
      <c r="G651">
        <v>6</v>
      </c>
      <c r="H651" s="3" t="s">
        <v>912</v>
      </c>
      <c r="I651" s="3" t="s">
        <v>28</v>
      </c>
      <c r="J651" s="3" t="s">
        <v>29</v>
      </c>
      <c r="K651" s="3" t="s">
        <v>19</v>
      </c>
      <c r="L651">
        <v>1444</v>
      </c>
      <c r="M651" s="3" t="s">
        <v>909</v>
      </c>
      <c r="N651">
        <v>17328</v>
      </c>
      <c r="O651">
        <v>2888</v>
      </c>
      <c r="P651">
        <v>5</v>
      </c>
      <c r="Q651" s="3" t="s">
        <v>913</v>
      </c>
      <c r="R651">
        <v>3</v>
      </c>
      <c r="S651">
        <v>0</v>
      </c>
      <c r="T651" s="3" t="s">
        <v>909</v>
      </c>
      <c r="U651">
        <v>7</v>
      </c>
      <c r="V651" s="3" t="s">
        <v>917</v>
      </c>
    </row>
    <row r="652" spans="1:22" x14ac:dyDescent="0.3">
      <c r="A652">
        <v>651</v>
      </c>
      <c r="B652" s="3" t="s">
        <v>852</v>
      </c>
      <c r="C652" s="3" t="s">
        <v>853</v>
      </c>
      <c r="D652" s="3" t="s">
        <v>1553</v>
      </c>
      <c r="E652" s="3" t="s">
        <v>307</v>
      </c>
      <c r="F652" s="1">
        <v>42795</v>
      </c>
      <c r="G652">
        <v>9</v>
      </c>
      <c r="H652" s="3" t="s">
        <v>920</v>
      </c>
      <c r="I652" s="3" t="s">
        <v>28</v>
      </c>
      <c r="J652" s="3" t="s">
        <v>18</v>
      </c>
      <c r="K652" s="3" t="s">
        <v>36</v>
      </c>
      <c r="L652">
        <v>2360</v>
      </c>
      <c r="M652" s="3" t="s">
        <v>908</v>
      </c>
      <c r="N652">
        <v>28320</v>
      </c>
      <c r="O652">
        <v>3146.6666666666665</v>
      </c>
      <c r="P652">
        <v>4.5</v>
      </c>
      <c r="Q652" s="3" t="s">
        <v>913</v>
      </c>
      <c r="R652">
        <v>0</v>
      </c>
      <c r="S652">
        <v>0</v>
      </c>
      <c r="T652" s="3" t="s">
        <v>916</v>
      </c>
      <c r="U652">
        <v>1</v>
      </c>
      <c r="V652" s="3" t="s">
        <v>917</v>
      </c>
    </row>
    <row r="653" spans="1:22" x14ac:dyDescent="0.3">
      <c r="A653">
        <v>652</v>
      </c>
      <c r="B653" s="3" t="s">
        <v>33</v>
      </c>
      <c r="C653" s="3" t="s">
        <v>775</v>
      </c>
      <c r="D653" s="3" t="s">
        <v>1554</v>
      </c>
      <c r="E653" s="3" t="s">
        <v>32</v>
      </c>
      <c r="F653" s="1">
        <v>44177</v>
      </c>
      <c r="G653">
        <v>5</v>
      </c>
      <c r="H653" s="3" t="s">
        <v>912</v>
      </c>
      <c r="I653" s="3" t="s">
        <v>53</v>
      </c>
      <c r="J653" s="3" t="s">
        <v>29</v>
      </c>
      <c r="K653" s="3" t="s">
        <v>36</v>
      </c>
      <c r="L653">
        <v>2576</v>
      </c>
      <c r="M653" s="3" t="s">
        <v>913</v>
      </c>
      <c r="N653">
        <v>30912</v>
      </c>
      <c r="O653">
        <v>6182.4</v>
      </c>
      <c r="P653">
        <v>1</v>
      </c>
      <c r="Q653" s="3" t="s">
        <v>909</v>
      </c>
      <c r="R653">
        <v>6</v>
      </c>
      <c r="S653">
        <v>0</v>
      </c>
      <c r="T653" s="3" t="s">
        <v>908</v>
      </c>
      <c r="U653">
        <v>6</v>
      </c>
      <c r="V653" s="3" t="s">
        <v>917</v>
      </c>
    </row>
    <row r="654" spans="1:22" x14ac:dyDescent="0.3">
      <c r="A654">
        <v>653</v>
      </c>
      <c r="B654" s="3" t="s">
        <v>33</v>
      </c>
      <c r="C654" s="3" t="s">
        <v>854</v>
      </c>
      <c r="D654" s="3" t="s">
        <v>1555</v>
      </c>
      <c r="E654" s="3" t="s">
        <v>32</v>
      </c>
      <c r="F654" s="1">
        <v>43793</v>
      </c>
      <c r="G654">
        <v>6</v>
      </c>
      <c r="H654" s="3" t="s">
        <v>912</v>
      </c>
      <c r="I654" s="3" t="s">
        <v>41</v>
      </c>
      <c r="J654" s="3" t="s">
        <v>18</v>
      </c>
      <c r="K654" s="3" t="s">
        <v>42</v>
      </c>
      <c r="L654">
        <v>2376</v>
      </c>
      <c r="M654" s="3" t="s">
        <v>908</v>
      </c>
      <c r="N654">
        <v>28512</v>
      </c>
      <c r="O654">
        <v>4752</v>
      </c>
      <c r="P654">
        <v>2</v>
      </c>
      <c r="Q654" s="3" t="s">
        <v>909</v>
      </c>
      <c r="R654">
        <v>6</v>
      </c>
      <c r="S654">
        <v>0</v>
      </c>
      <c r="T654" s="3" t="s">
        <v>908</v>
      </c>
      <c r="U654">
        <v>57</v>
      </c>
      <c r="V654" s="3" t="s">
        <v>910</v>
      </c>
    </row>
    <row r="655" spans="1:22" x14ac:dyDescent="0.3">
      <c r="A655">
        <v>654</v>
      </c>
      <c r="B655" s="3" t="s">
        <v>437</v>
      </c>
      <c r="C655" s="3" t="s">
        <v>329</v>
      </c>
      <c r="D655" s="3" t="s">
        <v>1556</v>
      </c>
      <c r="E655" s="3" t="s">
        <v>32</v>
      </c>
      <c r="F655" s="1">
        <v>43681</v>
      </c>
      <c r="G655">
        <v>7</v>
      </c>
      <c r="H655" s="3" t="s">
        <v>907</v>
      </c>
      <c r="I655" s="3" t="s">
        <v>53</v>
      </c>
      <c r="J655" s="3" t="s">
        <v>29</v>
      </c>
      <c r="K655" s="3" t="s">
        <v>36</v>
      </c>
      <c r="L655">
        <v>2924</v>
      </c>
      <c r="M655" s="3" t="s">
        <v>913</v>
      </c>
      <c r="N655">
        <v>35088</v>
      </c>
      <c r="O655">
        <v>5012.5714285714284</v>
      </c>
      <c r="P655">
        <v>4.5</v>
      </c>
      <c r="Q655" s="3" t="s">
        <v>913</v>
      </c>
      <c r="R655">
        <v>0</v>
      </c>
      <c r="S655">
        <v>0</v>
      </c>
      <c r="T655" s="3" t="s">
        <v>916</v>
      </c>
      <c r="U655">
        <v>10</v>
      </c>
      <c r="V655" s="3" t="s">
        <v>917</v>
      </c>
    </row>
    <row r="656" spans="1:22" x14ac:dyDescent="0.3">
      <c r="A656">
        <v>655</v>
      </c>
      <c r="B656" s="3" t="s">
        <v>357</v>
      </c>
      <c r="C656" s="3" t="s">
        <v>855</v>
      </c>
      <c r="D656" s="3" t="s">
        <v>1557</v>
      </c>
      <c r="E656" s="3" t="s">
        <v>32</v>
      </c>
      <c r="F656" s="1">
        <v>42785</v>
      </c>
      <c r="G656">
        <v>9</v>
      </c>
      <c r="H656" s="3" t="s">
        <v>920</v>
      </c>
      <c r="I656" s="3" t="s">
        <v>77</v>
      </c>
      <c r="J656" s="3" t="s">
        <v>22</v>
      </c>
      <c r="K656" s="3" t="s">
        <v>19</v>
      </c>
      <c r="L656">
        <v>2548</v>
      </c>
      <c r="M656" s="3" t="s">
        <v>913</v>
      </c>
      <c r="N656">
        <v>30576</v>
      </c>
      <c r="O656">
        <v>3397.3333333333335</v>
      </c>
      <c r="P656">
        <v>1</v>
      </c>
      <c r="Q656" s="3" t="s">
        <v>909</v>
      </c>
      <c r="R656">
        <v>0</v>
      </c>
      <c r="S656">
        <v>0</v>
      </c>
      <c r="T656" s="3" t="s">
        <v>916</v>
      </c>
      <c r="U656">
        <v>10</v>
      </c>
      <c r="V656" s="3" t="s">
        <v>917</v>
      </c>
    </row>
    <row r="657" spans="1:22" x14ac:dyDescent="0.3">
      <c r="A657">
        <v>656</v>
      </c>
      <c r="B657" s="3" t="s">
        <v>856</v>
      </c>
      <c r="C657" s="3" t="s">
        <v>857</v>
      </c>
      <c r="D657" s="3" t="s">
        <v>1558</v>
      </c>
      <c r="E657" s="3" t="s">
        <v>32</v>
      </c>
      <c r="F657" s="1">
        <v>43852</v>
      </c>
      <c r="G657">
        <v>6</v>
      </c>
      <c r="H657" s="3" t="s">
        <v>912</v>
      </c>
      <c r="I657" s="3" t="s">
        <v>41</v>
      </c>
      <c r="J657" s="3" t="s">
        <v>22</v>
      </c>
      <c r="K657" s="3" t="s">
        <v>60</v>
      </c>
      <c r="L657">
        <v>841</v>
      </c>
      <c r="M657" s="3" t="s">
        <v>909</v>
      </c>
      <c r="N657">
        <v>10092</v>
      </c>
      <c r="O657">
        <v>1682</v>
      </c>
      <c r="P657">
        <v>1</v>
      </c>
      <c r="Q657" s="3" t="s">
        <v>909</v>
      </c>
      <c r="R657">
        <v>4</v>
      </c>
      <c r="S657">
        <v>0</v>
      </c>
      <c r="T657" s="3" t="s">
        <v>908</v>
      </c>
      <c r="U657">
        <v>7</v>
      </c>
      <c r="V657" s="3" t="s">
        <v>917</v>
      </c>
    </row>
    <row r="658" spans="1:22" x14ac:dyDescent="0.3">
      <c r="A658">
        <v>657</v>
      </c>
      <c r="B658" s="3" t="s">
        <v>56</v>
      </c>
      <c r="C658" s="3" t="s">
        <v>858</v>
      </c>
      <c r="D658" s="3" t="s">
        <v>1559</v>
      </c>
      <c r="E658" s="3" t="s">
        <v>307</v>
      </c>
      <c r="F658" s="1">
        <v>43966</v>
      </c>
      <c r="G658">
        <v>6</v>
      </c>
      <c r="H658" s="3" t="s">
        <v>912</v>
      </c>
      <c r="I658" s="3" t="s">
        <v>28</v>
      </c>
      <c r="J658" s="3" t="s">
        <v>18</v>
      </c>
      <c r="K658" s="3" t="s">
        <v>36</v>
      </c>
      <c r="L658">
        <v>3017</v>
      </c>
      <c r="M658" s="3" t="s">
        <v>913</v>
      </c>
      <c r="N658">
        <v>36204</v>
      </c>
      <c r="O658">
        <v>6034</v>
      </c>
      <c r="P658">
        <v>3</v>
      </c>
      <c r="Q658" s="3" t="s">
        <v>908</v>
      </c>
      <c r="R658">
        <v>0</v>
      </c>
      <c r="S658">
        <v>0</v>
      </c>
      <c r="T658" s="3" t="s">
        <v>916</v>
      </c>
      <c r="U658">
        <v>6</v>
      </c>
      <c r="V658" s="3" t="s">
        <v>917</v>
      </c>
    </row>
    <row r="659" spans="1:22" x14ac:dyDescent="0.3">
      <c r="A659">
        <v>658</v>
      </c>
      <c r="B659" s="3" t="s">
        <v>859</v>
      </c>
      <c r="C659" s="3" t="s">
        <v>860</v>
      </c>
      <c r="D659" s="3" t="s">
        <v>1560</v>
      </c>
      <c r="E659" s="3" t="s">
        <v>32</v>
      </c>
      <c r="F659" s="1">
        <v>43126</v>
      </c>
      <c r="G659">
        <v>8</v>
      </c>
      <c r="H659" s="3" t="s">
        <v>907</v>
      </c>
      <c r="I659" s="3" t="s">
        <v>53</v>
      </c>
      <c r="J659" s="3" t="s">
        <v>29</v>
      </c>
      <c r="K659" s="3" t="s">
        <v>36</v>
      </c>
      <c r="L659">
        <v>1077</v>
      </c>
      <c r="M659" s="3" t="s">
        <v>909</v>
      </c>
      <c r="N659">
        <v>12924</v>
      </c>
      <c r="O659">
        <v>1615.5</v>
      </c>
      <c r="P659">
        <v>5</v>
      </c>
      <c r="Q659" s="3" t="s">
        <v>913</v>
      </c>
      <c r="R659">
        <v>0</v>
      </c>
      <c r="S659">
        <v>0</v>
      </c>
      <c r="T659" s="3" t="s">
        <v>916</v>
      </c>
      <c r="U659">
        <v>9</v>
      </c>
      <c r="V659" s="3" t="s">
        <v>917</v>
      </c>
    </row>
    <row r="660" spans="1:22" x14ac:dyDescent="0.3">
      <c r="A660">
        <v>659</v>
      </c>
      <c r="B660" s="3" t="s">
        <v>210</v>
      </c>
      <c r="C660" s="3" t="s">
        <v>861</v>
      </c>
      <c r="D660" s="3" t="s">
        <v>1561</v>
      </c>
      <c r="E660" s="3" t="s">
        <v>307</v>
      </c>
      <c r="F660" s="1">
        <v>43223</v>
      </c>
      <c r="G660">
        <v>8</v>
      </c>
      <c r="H660" s="3" t="s">
        <v>907</v>
      </c>
      <c r="I660" s="3" t="s">
        <v>58</v>
      </c>
      <c r="J660" s="3" t="s">
        <v>18</v>
      </c>
      <c r="K660" s="3" t="s">
        <v>60</v>
      </c>
      <c r="L660">
        <v>3316</v>
      </c>
      <c r="M660" s="3" t="s">
        <v>913</v>
      </c>
      <c r="N660">
        <v>39792</v>
      </c>
      <c r="O660">
        <v>4974</v>
      </c>
      <c r="P660">
        <v>4.5</v>
      </c>
      <c r="Q660" s="3" t="s">
        <v>913</v>
      </c>
      <c r="R660">
        <v>0</v>
      </c>
      <c r="S660">
        <v>0</v>
      </c>
      <c r="T660" s="3" t="s">
        <v>916</v>
      </c>
      <c r="U660">
        <v>8</v>
      </c>
      <c r="V660" s="3" t="s">
        <v>917</v>
      </c>
    </row>
    <row r="661" spans="1:22" x14ac:dyDescent="0.3">
      <c r="A661">
        <v>660</v>
      </c>
      <c r="B661" s="3" t="s">
        <v>111</v>
      </c>
      <c r="C661" s="3" t="s">
        <v>389</v>
      </c>
      <c r="D661" s="3" t="s">
        <v>1562</v>
      </c>
      <c r="E661" s="3" t="s">
        <v>32</v>
      </c>
      <c r="F661" s="1">
        <v>43442</v>
      </c>
      <c r="G661">
        <v>7</v>
      </c>
      <c r="H661" s="3" t="s">
        <v>907</v>
      </c>
      <c r="I661" s="3" t="s">
        <v>118</v>
      </c>
      <c r="J661" s="3" t="s">
        <v>48</v>
      </c>
      <c r="K661" s="3" t="s">
        <v>60</v>
      </c>
      <c r="L661">
        <v>2188</v>
      </c>
      <c r="M661" s="3" t="s">
        <v>908</v>
      </c>
      <c r="N661">
        <v>26256</v>
      </c>
      <c r="O661">
        <v>3750.8571428571427</v>
      </c>
      <c r="P661">
        <v>4.5</v>
      </c>
      <c r="Q661" s="3" t="s">
        <v>913</v>
      </c>
      <c r="R661">
        <v>5</v>
      </c>
      <c r="S661">
        <v>0</v>
      </c>
      <c r="T661" s="3" t="s">
        <v>908</v>
      </c>
      <c r="U661">
        <v>9</v>
      </c>
      <c r="V661" s="3" t="s">
        <v>917</v>
      </c>
    </row>
    <row r="662" spans="1:22" x14ac:dyDescent="0.3">
      <c r="A662">
        <v>661</v>
      </c>
      <c r="B662" s="3" t="s">
        <v>862</v>
      </c>
      <c r="C662" s="3" t="s">
        <v>863</v>
      </c>
      <c r="D662" s="3" t="s">
        <v>1563</v>
      </c>
      <c r="E662" s="3" t="s">
        <v>32</v>
      </c>
      <c r="F662" s="1">
        <v>43500</v>
      </c>
      <c r="G662">
        <v>7</v>
      </c>
      <c r="H662" s="3" t="s">
        <v>907</v>
      </c>
      <c r="I662" s="3" t="s">
        <v>118</v>
      </c>
      <c r="J662" s="3" t="s">
        <v>29</v>
      </c>
      <c r="K662" s="3" t="s">
        <v>60</v>
      </c>
      <c r="L662">
        <v>1684</v>
      </c>
      <c r="M662" s="3" t="s">
        <v>908</v>
      </c>
      <c r="N662">
        <v>20208</v>
      </c>
      <c r="O662">
        <v>2886.8571428571427</v>
      </c>
      <c r="P662">
        <v>5</v>
      </c>
      <c r="Q662" s="3" t="s">
        <v>913</v>
      </c>
      <c r="R662">
        <v>0</v>
      </c>
      <c r="S662">
        <v>0</v>
      </c>
      <c r="T662" s="3" t="s">
        <v>916</v>
      </c>
      <c r="U662">
        <v>6</v>
      </c>
      <c r="V662" s="3" t="s">
        <v>917</v>
      </c>
    </row>
    <row r="663" spans="1:22" x14ac:dyDescent="0.3">
      <c r="A663">
        <v>662</v>
      </c>
      <c r="B663" s="3" t="s">
        <v>864</v>
      </c>
      <c r="C663" s="3" t="s">
        <v>865</v>
      </c>
      <c r="D663" s="3" t="s">
        <v>1564</v>
      </c>
      <c r="E663" s="3" t="s">
        <v>307</v>
      </c>
      <c r="F663" s="1">
        <v>43783</v>
      </c>
      <c r="G663">
        <v>6</v>
      </c>
      <c r="H663" s="3" t="s">
        <v>912</v>
      </c>
      <c r="I663" s="3" t="s">
        <v>41</v>
      </c>
      <c r="J663" s="3" t="s">
        <v>18</v>
      </c>
      <c r="K663" s="3" t="s">
        <v>42</v>
      </c>
      <c r="L663">
        <v>716</v>
      </c>
      <c r="M663" s="3" t="s">
        <v>909</v>
      </c>
      <c r="N663">
        <v>8592</v>
      </c>
      <c r="O663">
        <v>1432</v>
      </c>
      <c r="P663">
        <v>3</v>
      </c>
      <c r="Q663" s="3" t="s">
        <v>908</v>
      </c>
      <c r="R663">
        <v>0</v>
      </c>
      <c r="S663">
        <v>0</v>
      </c>
      <c r="T663" s="3" t="s">
        <v>916</v>
      </c>
      <c r="U663">
        <v>8</v>
      </c>
      <c r="V663" s="3" t="s">
        <v>917</v>
      </c>
    </row>
    <row r="664" spans="1:22" x14ac:dyDescent="0.3">
      <c r="A664">
        <v>663</v>
      </c>
      <c r="B664" s="3" t="s">
        <v>413</v>
      </c>
      <c r="C664" s="3" t="s">
        <v>476</v>
      </c>
      <c r="D664" s="3" t="s">
        <v>1565</v>
      </c>
      <c r="E664" s="3" t="s">
        <v>307</v>
      </c>
      <c r="F664" s="1">
        <v>43604</v>
      </c>
      <c r="G664">
        <v>7</v>
      </c>
      <c r="H664" s="3" t="s">
        <v>907</v>
      </c>
      <c r="I664" s="3" t="s">
        <v>28</v>
      </c>
      <c r="J664" s="3" t="s">
        <v>18</v>
      </c>
      <c r="K664" s="3" t="s">
        <v>36</v>
      </c>
      <c r="L664">
        <v>2703</v>
      </c>
      <c r="M664" s="3" t="s">
        <v>913</v>
      </c>
      <c r="N664">
        <v>32436</v>
      </c>
      <c r="O664">
        <v>4633.7142857142853</v>
      </c>
      <c r="P664">
        <v>2</v>
      </c>
      <c r="Q664" s="3" t="s">
        <v>909</v>
      </c>
      <c r="R664">
        <v>0</v>
      </c>
      <c r="S664">
        <v>0</v>
      </c>
      <c r="T664" s="3" t="s">
        <v>916</v>
      </c>
      <c r="U664">
        <v>4</v>
      </c>
      <c r="V664" s="3" t="s">
        <v>917</v>
      </c>
    </row>
    <row r="665" spans="1:22" x14ac:dyDescent="0.3">
      <c r="A665">
        <v>664</v>
      </c>
      <c r="B665" s="3" t="s">
        <v>71</v>
      </c>
      <c r="C665" s="3" t="s">
        <v>866</v>
      </c>
      <c r="D665" s="3" t="s">
        <v>1566</v>
      </c>
      <c r="E665" s="3" t="s">
        <v>32</v>
      </c>
      <c r="F665" s="1">
        <v>43289</v>
      </c>
      <c r="G665">
        <v>8</v>
      </c>
      <c r="H665" s="3" t="s">
        <v>907</v>
      </c>
      <c r="I665" s="3" t="s">
        <v>73</v>
      </c>
      <c r="J665" s="3" t="s">
        <v>18</v>
      </c>
      <c r="K665" s="3" t="s">
        <v>898</v>
      </c>
      <c r="L665">
        <v>2361</v>
      </c>
      <c r="M665" s="3" t="s">
        <v>908</v>
      </c>
      <c r="N665">
        <v>28332</v>
      </c>
      <c r="O665">
        <v>3541.5</v>
      </c>
      <c r="P665">
        <v>5</v>
      </c>
      <c r="Q665" s="3" t="s">
        <v>913</v>
      </c>
      <c r="R665">
        <v>0</v>
      </c>
      <c r="S665">
        <v>0</v>
      </c>
      <c r="T665" s="3" t="s">
        <v>916</v>
      </c>
      <c r="U665">
        <v>1</v>
      </c>
      <c r="V665" s="3" t="s">
        <v>917</v>
      </c>
    </row>
    <row r="666" spans="1:22" x14ac:dyDescent="0.3">
      <c r="A666">
        <v>665</v>
      </c>
      <c r="B666" s="3" t="s">
        <v>33</v>
      </c>
      <c r="C666" s="3" t="s">
        <v>142</v>
      </c>
      <c r="D666" s="3" t="s">
        <v>1229</v>
      </c>
      <c r="E666" s="3" t="s">
        <v>32</v>
      </c>
      <c r="F666" s="1">
        <v>44141</v>
      </c>
      <c r="G666">
        <v>5</v>
      </c>
      <c r="H666" s="3" t="s">
        <v>912</v>
      </c>
      <c r="I666" s="3" t="s">
        <v>28</v>
      </c>
      <c r="J666" s="3" t="s">
        <v>18</v>
      </c>
      <c r="K666" s="3" t="s">
        <v>42</v>
      </c>
      <c r="L666">
        <v>1797</v>
      </c>
      <c r="M666" s="3" t="s">
        <v>908</v>
      </c>
      <c r="N666">
        <v>21564</v>
      </c>
      <c r="O666">
        <v>4312.8</v>
      </c>
      <c r="P666">
        <v>1</v>
      </c>
      <c r="Q666" s="3" t="s">
        <v>909</v>
      </c>
      <c r="R666">
        <v>6</v>
      </c>
      <c r="S666">
        <v>0</v>
      </c>
      <c r="T666" s="3" t="s">
        <v>908</v>
      </c>
      <c r="U666">
        <v>7</v>
      </c>
      <c r="V666" s="3" t="s">
        <v>917</v>
      </c>
    </row>
    <row r="667" spans="1:22" x14ac:dyDescent="0.3">
      <c r="A667">
        <v>666</v>
      </c>
      <c r="B667" s="3" t="s">
        <v>64</v>
      </c>
      <c r="C667" s="3" t="s">
        <v>867</v>
      </c>
      <c r="D667" s="3" t="s">
        <v>1567</v>
      </c>
      <c r="E667" s="3" t="s">
        <v>32</v>
      </c>
      <c r="F667" s="1">
        <v>43995</v>
      </c>
      <c r="G667">
        <v>6</v>
      </c>
      <c r="H667" s="3" t="s">
        <v>912</v>
      </c>
      <c r="I667" s="3" t="s">
        <v>93</v>
      </c>
      <c r="J667" s="3" t="s">
        <v>18</v>
      </c>
      <c r="K667" s="3" t="s">
        <v>898</v>
      </c>
      <c r="L667">
        <v>2252</v>
      </c>
      <c r="M667" s="3" t="s">
        <v>908</v>
      </c>
      <c r="N667">
        <v>27024</v>
      </c>
      <c r="O667">
        <v>4504</v>
      </c>
      <c r="P667">
        <v>3</v>
      </c>
      <c r="Q667" s="3" t="s">
        <v>908</v>
      </c>
      <c r="R667">
        <v>0</v>
      </c>
      <c r="S667">
        <v>0</v>
      </c>
      <c r="T667" s="3" t="s">
        <v>916</v>
      </c>
      <c r="U667">
        <v>2</v>
      </c>
      <c r="V667" s="3" t="s">
        <v>917</v>
      </c>
    </row>
    <row r="668" spans="1:22" x14ac:dyDescent="0.3">
      <c r="A668">
        <v>667</v>
      </c>
      <c r="B668" s="3" t="s">
        <v>503</v>
      </c>
      <c r="C668" s="3" t="s">
        <v>868</v>
      </c>
      <c r="D668" s="3" t="s">
        <v>1568</v>
      </c>
      <c r="E668" s="3" t="s">
        <v>307</v>
      </c>
      <c r="F668" s="1">
        <v>43373</v>
      </c>
      <c r="G668">
        <v>7</v>
      </c>
      <c r="H668" s="3" t="s">
        <v>907</v>
      </c>
      <c r="I668" s="3" t="s">
        <v>28</v>
      </c>
      <c r="J668" s="3" t="s">
        <v>18</v>
      </c>
      <c r="K668" s="3" t="s">
        <v>36</v>
      </c>
      <c r="L668">
        <v>2486</v>
      </c>
      <c r="M668" s="3" t="s">
        <v>908</v>
      </c>
      <c r="N668">
        <v>29832</v>
      </c>
      <c r="O668">
        <v>4261.7142857142853</v>
      </c>
      <c r="P668">
        <v>5</v>
      </c>
      <c r="Q668" s="3" t="s">
        <v>913</v>
      </c>
      <c r="R668">
        <v>5</v>
      </c>
      <c r="S668">
        <v>2</v>
      </c>
      <c r="T668" s="3" t="s">
        <v>913</v>
      </c>
      <c r="U668">
        <v>9</v>
      </c>
      <c r="V668" s="3" t="s">
        <v>917</v>
      </c>
    </row>
    <row r="669" spans="1:22" x14ac:dyDescent="0.3">
      <c r="A669">
        <v>668</v>
      </c>
      <c r="B669" s="3" t="s">
        <v>30</v>
      </c>
      <c r="C669" s="3" t="s">
        <v>869</v>
      </c>
      <c r="D669" s="3" t="s">
        <v>1569</v>
      </c>
      <c r="E669" s="3" t="s">
        <v>32</v>
      </c>
      <c r="F669" s="1">
        <v>43995</v>
      </c>
      <c r="G669">
        <v>6</v>
      </c>
      <c r="H669" s="3" t="s">
        <v>912</v>
      </c>
      <c r="I669" s="3" t="s">
        <v>28</v>
      </c>
      <c r="J669" s="3" t="s">
        <v>18</v>
      </c>
      <c r="K669" s="3" t="s">
        <v>36</v>
      </c>
      <c r="L669">
        <v>1197</v>
      </c>
      <c r="M669" s="3" t="s">
        <v>909</v>
      </c>
      <c r="N669">
        <v>14364</v>
      </c>
      <c r="O669">
        <v>2394</v>
      </c>
      <c r="P669">
        <v>2</v>
      </c>
      <c r="Q669" s="3" t="s">
        <v>909</v>
      </c>
      <c r="R669">
        <v>4</v>
      </c>
      <c r="S669">
        <v>0</v>
      </c>
      <c r="T669" s="3" t="s">
        <v>908</v>
      </c>
      <c r="U669">
        <v>8</v>
      </c>
      <c r="V669" s="3" t="s">
        <v>917</v>
      </c>
    </row>
    <row r="670" spans="1:22" x14ac:dyDescent="0.3">
      <c r="A670">
        <v>669</v>
      </c>
      <c r="B670" s="3" t="s">
        <v>870</v>
      </c>
      <c r="C670" s="3" t="s">
        <v>871</v>
      </c>
      <c r="D670" s="3" t="s">
        <v>1570</v>
      </c>
      <c r="E670" s="3" t="s">
        <v>307</v>
      </c>
      <c r="F670" s="1">
        <v>43590</v>
      </c>
      <c r="G670">
        <v>7</v>
      </c>
      <c r="H670" s="3" t="s">
        <v>907</v>
      </c>
      <c r="I670" s="3" t="s">
        <v>53</v>
      </c>
      <c r="J670" s="3" t="s">
        <v>22</v>
      </c>
      <c r="K670" s="3" t="s">
        <v>36</v>
      </c>
      <c r="L670">
        <v>3389</v>
      </c>
      <c r="M670" s="3" t="s">
        <v>913</v>
      </c>
      <c r="N670">
        <v>40668</v>
      </c>
      <c r="O670">
        <v>5809.7142857142853</v>
      </c>
      <c r="P670">
        <v>3</v>
      </c>
      <c r="Q670" s="3" t="s">
        <v>908</v>
      </c>
      <c r="R670">
        <v>1</v>
      </c>
      <c r="S670">
        <v>0</v>
      </c>
      <c r="T670" s="3" t="s">
        <v>909</v>
      </c>
      <c r="U670">
        <v>7</v>
      </c>
      <c r="V670" s="3" t="s">
        <v>917</v>
      </c>
    </row>
    <row r="671" spans="1:22" x14ac:dyDescent="0.3">
      <c r="A671">
        <v>670</v>
      </c>
      <c r="B671" s="3" t="s">
        <v>215</v>
      </c>
      <c r="C671" s="3" t="s">
        <v>872</v>
      </c>
      <c r="D671" s="3" t="s">
        <v>1571</v>
      </c>
      <c r="E671" s="3" t="s">
        <v>307</v>
      </c>
      <c r="F671" s="1">
        <v>43800</v>
      </c>
      <c r="G671">
        <v>6</v>
      </c>
      <c r="H671" s="3" t="s">
        <v>912</v>
      </c>
      <c r="I671" s="3" t="s">
        <v>35</v>
      </c>
      <c r="J671" s="3" t="s">
        <v>29</v>
      </c>
      <c r="K671" s="3" t="s">
        <v>42</v>
      </c>
      <c r="L671">
        <v>2760</v>
      </c>
      <c r="M671" s="3" t="s">
        <v>913</v>
      </c>
      <c r="N671">
        <v>33120</v>
      </c>
      <c r="O671">
        <v>5520</v>
      </c>
      <c r="P671">
        <v>1</v>
      </c>
      <c r="Q671" s="3" t="s">
        <v>909</v>
      </c>
      <c r="R671">
        <v>6</v>
      </c>
      <c r="S671">
        <v>6</v>
      </c>
      <c r="T671" s="3" t="s">
        <v>913</v>
      </c>
      <c r="U671">
        <v>1</v>
      </c>
      <c r="V671" s="3" t="s">
        <v>917</v>
      </c>
    </row>
    <row r="672" spans="1:22" x14ac:dyDescent="0.3">
      <c r="A672">
        <v>671</v>
      </c>
      <c r="B672" s="3" t="s">
        <v>213</v>
      </c>
      <c r="C672" s="3" t="s">
        <v>873</v>
      </c>
      <c r="D672" s="3" t="s">
        <v>1572</v>
      </c>
      <c r="E672" s="3" t="s">
        <v>32</v>
      </c>
      <c r="F672" s="1">
        <v>42992</v>
      </c>
      <c r="G672">
        <v>8</v>
      </c>
      <c r="H672" s="3" t="s">
        <v>907</v>
      </c>
      <c r="I672" s="3" t="s">
        <v>88</v>
      </c>
      <c r="J672" s="3" t="s">
        <v>22</v>
      </c>
      <c r="K672" s="3" t="s">
        <v>42</v>
      </c>
      <c r="L672">
        <v>1232</v>
      </c>
      <c r="M672" s="3" t="s">
        <v>909</v>
      </c>
      <c r="N672">
        <v>14784</v>
      </c>
      <c r="O672">
        <v>1848</v>
      </c>
      <c r="P672">
        <v>5</v>
      </c>
      <c r="Q672" s="3" t="s">
        <v>913</v>
      </c>
      <c r="R672">
        <v>3</v>
      </c>
      <c r="S672">
        <v>0</v>
      </c>
      <c r="T672" s="3" t="s">
        <v>909</v>
      </c>
      <c r="U672">
        <v>10</v>
      </c>
      <c r="V672" s="3" t="s">
        <v>917</v>
      </c>
    </row>
    <row r="673" spans="1:22" x14ac:dyDescent="0.3">
      <c r="A673">
        <v>672</v>
      </c>
      <c r="B673" s="3" t="s">
        <v>606</v>
      </c>
      <c r="C673" s="3" t="s">
        <v>874</v>
      </c>
      <c r="D673" s="3" t="s">
        <v>1573</v>
      </c>
      <c r="E673" s="3" t="s">
        <v>307</v>
      </c>
      <c r="F673" s="1">
        <v>43573</v>
      </c>
      <c r="G673">
        <v>7</v>
      </c>
      <c r="H673" s="3" t="s">
        <v>907</v>
      </c>
      <c r="I673" s="3" t="s">
        <v>53</v>
      </c>
      <c r="J673" s="3" t="s">
        <v>29</v>
      </c>
      <c r="K673" s="3" t="s">
        <v>36</v>
      </c>
      <c r="L673">
        <v>1045</v>
      </c>
      <c r="M673" s="3" t="s">
        <v>909</v>
      </c>
      <c r="N673">
        <v>12540</v>
      </c>
      <c r="O673">
        <v>1791.4285714285713</v>
      </c>
      <c r="P673">
        <v>5</v>
      </c>
      <c r="Q673" s="3" t="s">
        <v>913</v>
      </c>
      <c r="R673">
        <v>6</v>
      </c>
      <c r="S673">
        <v>0</v>
      </c>
      <c r="T673" s="3" t="s">
        <v>908</v>
      </c>
      <c r="U673">
        <v>4</v>
      </c>
      <c r="V673" s="3" t="s">
        <v>917</v>
      </c>
    </row>
    <row r="674" spans="1:22" x14ac:dyDescent="0.3">
      <c r="A674">
        <v>673</v>
      </c>
      <c r="B674" s="3" t="s">
        <v>33</v>
      </c>
      <c r="C674" s="3" t="s">
        <v>875</v>
      </c>
      <c r="D674" s="3" t="s">
        <v>1574</v>
      </c>
      <c r="E674" s="3" t="s">
        <v>32</v>
      </c>
      <c r="F674" s="1">
        <v>43104</v>
      </c>
      <c r="G674">
        <v>8</v>
      </c>
      <c r="H674" s="3" t="s">
        <v>907</v>
      </c>
      <c r="I674" s="3" t="s">
        <v>50</v>
      </c>
      <c r="J674" s="3" t="s">
        <v>18</v>
      </c>
      <c r="K674" s="3" t="s">
        <v>19</v>
      </c>
      <c r="L674">
        <v>3257</v>
      </c>
      <c r="M674" s="3" t="s">
        <v>913</v>
      </c>
      <c r="N674">
        <v>39084</v>
      </c>
      <c r="O674">
        <v>4885.5</v>
      </c>
      <c r="P674">
        <v>3</v>
      </c>
      <c r="Q674" s="3" t="s">
        <v>908</v>
      </c>
      <c r="R674">
        <v>0</v>
      </c>
      <c r="S674">
        <v>0</v>
      </c>
      <c r="T674" s="3" t="s">
        <v>916</v>
      </c>
      <c r="U674">
        <v>6</v>
      </c>
      <c r="V674" s="3" t="s">
        <v>917</v>
      </c>
    </row>
    <row r="675" spans="1:22" x14ac:dyDescent="0.3">
      <c r="A675">
        <v>674</v>
      </c>
      <c r="B675" s="3" t="s">
        <v>876</v>
      </c>
      <c r="C675" s="3" t="s">
        <v>877</v>
      </c>
      <c r="D675" s="3" t="s">
        <v>1575</v>
      </c>
      <c r="E675" s="3" t="s">
        <v>307</v>
      </c>
      <c r="F675" s="1">
        <v>43160</v>
      </c>
      <c r="G675">
        <v>8</v>
      </c>
      <c r="H675" s="3" t="s">
        <v>907</v>
      </c>
      <c r="I675" s="3" t="s">
        <v>53</v>
      </c>
      <c r="J675" s="3" t="s">
        <v>18</v>
      </c>
      <c r="K675" s="3" t="s">
        <v>60</v>
      </c>
      <c r="L675">
        <v>3026</v>
      </c>
      <c r="M675" s="3" t="s">
        <v>913</v>
      </c>
      <c r="N675">
        <v>36312</v>
      </c>
      <c r="O675">
        <v>4539</v>
      </c>
      <c r="P675">
        <v>3</v>
      </c>
      <c r="Q675" s="3" t="s">
        <v>908</v>
      </c>
      <c r="R675">
        <v>4</v>
      </c>
      <c r="S675">
        <v>0</v>
      </c>
      <c r="T675" s="3" t="s">
        <v>908</v>
      </c>
      <c r="U675">
        <v>1</v>
      </c>
      <c r="V675" s="3" t="s">
        <v>917</v>
      </c>
    </row>
    <row r="676" spans="1:22" x14ac:dyDescent="0.3">
      <c r="A676">
        <v>675</v>
      </c>
      <c r="B676" s="3" t="s">
        <v>878</v>
      </c>
      <c r="C676" s="3" t="s">
        <v>879</v>
      </c>
      <c r="D676" s="3" t="s">
        <v>1576</v>
      </c>
      <c r="E676" s="3" t="s">
        <v>307</v>
      </c>
      <c r="F676" s="1">
        <v>43766</v>
      </c>
      <c r="G676">
        <v>6</v>
      </c>
      <c r="H676" s="3" t="s">
        <v>912</v>
      </c>
      <c r="I676" s="3" t="s">
        <v>77</v>
      </c>
      <c r="J676" s="3" t="s">
        <v>18</v>
      </c>
      <c r="K676" s="3" t="s">
        <v>36</v>
      </c>
      <c r="L676">
        <v>1898</v>
      </c>
      <c r="M676" s="3" t="s">
        <v>908</v>
      </c>
      <c r="N676">
        <v>22776</v>
      </c>
      <c r="O676">
        <v>3796</v>
      </c>
      <c r="P676">
        <v>4.5</v>
      </c>
      <c r="Q676" s="3" t="s">
        <v>913</v>
      </c>
      <c r="R676">
        <v>1</v>
      </c>
      <c r="S676">
        <v>0</v>
      </c>
      <c r="T676" s="3" t="s">
        <v>909</v>
      </c>
      <c r="U676">
        <v>2</v>
      </c>
      <c r="V676" s="3" t="s">
        <v>917</v>
      </c>
    </row>
    <row r="677" spans="1:22" x14ac:dyDescent="0.3">
      <c r="A677">
        <v>676</v>
      </c>
      <c r="B677" s="3" t="s">
        <v>880</v>
      </c>
      <c r="C677" s="3" t="s">
        <v>881</v>
      </c>
      <c r="D677" s="3" t="s">
        <v>1577</v>
      </c>
      <c r="E677" s="3" t="s">
        <v>32</v>
      </c>
      <c r="F677" s="1">
        <v>43275</v>
      </c>
      <c r="G677">
        <v>8</v>
      </c>
      <c r="H677" s="3" t="s">
        <v>907</v>
      </c>
      <c r="I677" s="3" t="s">
        <v>28</v>
      </c>
      <c r="J677" s="3" t="s">
        <v>18</v>
      </c>
      <c r="K677" s="3" t="s">
        <v>60</v>
      </c>
      <c r="L677">
        <v>2778</v>
      </c>
      <c r="M677" s="3" t="s">
        <v>913</v>
      </c>
      <c r="N677">
        <v>33336</v>
      </c>
      <c r="O677">
        <v>4167</v>
      </c>
      <c r="P677">
        <v>3</v>
      </c>
      <c r="Q677" s="3" t="s">
        <v>908</v>
      </c>
      <c r="R677">
        <v>2</v>
      </c>
      <c r="S677">
        <v>0</v>
      </c>
      <c r="T677" s="3" t="s">
        <v>909</v>
      </c>
      <c r="U677">
        <v>20</v>
      </c>
      <c r="V677" s="3" t="s">
        <v>910</v>
      </c>
    </row>
    <row r="678" spans="1:22" x14ac:dyDescent="0.3">
      <c r="A678">
        <v>677</v>
      </c>
      <c r="B678" s="3" t="s">
        <v>20</v>
      </c>
      <c r="C678" s="3" t="s">
        <v>882</v>
      </c>
      <c r="D678" s="3" t="s">
        <v>1578</v>
      </c>
      <c r="E678" s="3" t="s">
        <v>32</v>
      </c>
      <c r="F678" s="1">
        <v>43104</v>
      </c>
      <c r="G678">
        <v>8</v>
      </c>
      <c r="H678" s="3" t="s">
        <v>907</v>
      </c>
      <c r="I678" s="3" t="s">
        <v>77</v>
      </c>
      <c r="J678" s="3" t="s">
        <v>48</v>
      </c>
      <c r="K678" s="3" t="s">
        <v>36</v>
      </c>
      <c r="L678">
        <v>2880</v>
      </c>
      <c r="M678" s="3" t="s">
        <v>913</v>
      </c>
      <c r="N678">
        <v>34560</v>
      </c>
      <c r="O678">
        <v>4320</v>
      </c>
      <c r="P678">
        <v>2</v>
      </c>
      <c r="Q678" s="3" t="s">
        <v>909</v>
      </c>
      <c r="R678">
        <v>4</v>
      </c>
      <c r="S678">
        <v>0</v>
      </c>
      <c r="T678" s="3" t="s">
        <v>908</v>
      </c>
      <c r="U678">
        <v>5</v>
      </c>
      <c r="V678" s="3" t="s">
        <v>917</v>
      </c>
    </row>
    <row r="679" spans="1:22" x14ac:dyDescent="0.3">
      <c r="A679">
        <v>678</v>
      </c>
      <c r="B679" s="3" t="s">
        <v>272</v>
      </c>
      <c r="C679" s="3" t="s">
        <v>883</v>
      </c>
      <c r="D679" s="3" t="s">
        <v>1579</v>
      </c>
      <c r="E679" s="3" t="s">
        <v>32</v>
      </c>
      <c r="F679" s="1">
        <v>43538</v>
      </c>
      <c r="G679">
        <v>7</v>
      </c>
      <c r="H679" s="3" t="s">
        <v>907</v>
      </c>
      <c r="I679" s="3" t="s">
        <v>353</v>
      </c>
      <c r="J679" s="3" t="s">
        <v>22</v>
      </c>
      <c r="K679" s="3" t="s">
        <v>42</v>
      </c>
      <c r="L679">
        <v>2815</v>
      </c>
      <c r="M679" s="3" t="s">
        <v>913</v>
      </c>
      <c r="N679">
        <v>33780</v>
      </c>
      <c r="O679">
        <v>4825.7142857142853</v>
      </c>
      <c r="P679">
        <v>3</v>
      </c>
      <c r="Q679" s="3" t="s">
        <v>908</v>
      </c>
      <c r="R679">
        <v>6</v>
      </c>
      <c r="S679">
        <v>0</v>
      </c>
      <c r="T679" s="3" t="s">
        <v>908</v>
      </c>
      <c r="U679">
        <v>2</v>
      </c>
      <c r="V679" s="3" t="s">
        <v>917</v>
      </c>
    </row>
    <row r="680" spans="1:22" x14ac:dyDescent="0.3">
      <c r="A680">
        <v>679</v>
      </c>
      <c r="B680" s="3" t="s">
        <v>884</v>
      </c>
      <c r="C680" s="3" t="s">
        <v>885</v>
      </c>
      <c r="D680" s="3" t="s">
        <v>1580</v>
      </c>
      <c r="E680" s="3" t="s">
        <v>307</v>
      </c>
      <c r="F680" s="1">
        <v>43448</v>
      </c>
      <c r="G680">
        <v>7</v>
      </c>
      <c r="H680" s="3" t="s">
        <v>907</v>
      </c>
      <c r="I680" s="3" t="s">
        <v>45</v>
      </c>
      <c r="J680" s="3" t="s">
        <v>48</v>
      </c>
      <c r="K680" s="3" t="s">
        <v>898</v>
      </c>
      <c r="L680">
        <v>1134</v>
      </c>
      <c r="M680" s="3" t="s">
        <v>909</v>
      </c>
      <c r="N680">
        <v>13608</v>
      </c>
      <c r="O680">
        <v>1944</v>
      </c>
      <c r="P680">
        <v>2</v>
      </c>
      <c r="Q680" s="3" t="s">
        <v>909</v>
      </c>
      <c r="R680">
        <v>0</v>
      </c>
      <c r="S680">
        <v>0</v>
      </c>
      <c r="T680" s="3" t="s">
        <v>916</v>
      </c>
      <c r="U680">
        <v>14</v>
      </c>
      <c r="V680" s="3" t="s">
        <v>910</v>
      </c>
    </row>
    <row r="681" spans="1:22" x14ac:dyDescent="0.3">
      <c r="A681">
        <v>680</v>
      </c>
      <c r="B681" s="3" t="s">
        <v>886</v>
      </c>
      <c r="C681" s="3" t="s">
        <v>887</v>
      </c>
      <c r="D681" s="3" t="s">
        <v>1581</v>
      </c>
      <c r="E681" s="3" t="s">
        <v>307</v>
      </c>
      <c r="F681" s="1">
        <v>43757</v>
      </c>
      <c r="G681">
        <v>6</v>
      </c>
      <c r="H681" s="3" t="s">
        <v>912</v>
      </c>
      <c r="I681" s="3" t="s">
        <v>76</v>
      </c>
      <c r="J681" s="3" t="s">
        <v>29</v>
      </c>
      <c r="K681" s="3" t="s">
        <v>19</v>
      </c>
      <c r="L681">
        <v>3334</v>
      </c>
      <c r="M681" s="3" t="s">
        <v>913</v>
      </c>
      <c r="N681">
        <v>40008</v>
      </c>
      <c r="O681">
        <v>6668</v>
      </c>
      <c r="P681">
        <v>1</v>
      </c>
      <c r="Q681" s="3" t="s">
        <v>909</v>
      </c>
      <c r="R681">
        <v>0</v>
      </c>
      <c r="S681">
        <v>0</v>
      </c>
      <c r="T681" s="3" t="s">
        <v>916</v>
      </c>
      <c r="U681">
        <v>4</v>
      </c>
      <c r="V681" s="3" t="s">
        <v>917</v>
      </c>
    </row>
    <row r="682" spans="1:22" x14ac:dyDescent="0.3">
      <c r="A682">
        <v>681</v>
      </c>
      <c r="B682" s="3" t="s">
        <v>67</v>
      </c>
      <c r="C682" s="3" t="s">
        <v>326</v>
      </c>
      <c r="D682" s="3" t="s">
        <v>1582</v>
      </c>
      <c r="E682" s="3" t="s">
        <v>32</v>
      </c>
      <c r="F682" s="1">
        <v>43981</v>
      </c>
      <c r="G682">
        <v>6</v>
      </c>
      <c r="H682" s="3" t="s">
        <v>912</v>
      </c>
      <c r="I682" s="3" t="s">
        <v>28</v>
      </c>
      <c r="J682" s="3" t="s">
        <v>48</v>
      </c>
      <c r="K682" s="3" t="s">
        <v>898</v>
      </c>
      <c r="L682">
        <v>2574</v>
      </c>
      <c r="M682" s="3" t="s">
        <v>913</v>
      </c>
      <c r="N682">
        <v>30888</v>
      </c>
      <c r="O682">
        <v>5148</v>
      </c>
      <c r="P682">
        <v>3</v>
      </c>
      <c r="Q682" s="3" t="s">
        <v>908</v>
      </c>
      <c r="R682">
        <v>3</v>
      </c>
      <c r="S682">
        <v>0</v>
      </c>
      <c r="T682" s="3" t="s">
        <v>909</v>
      </c>
      <c r="U682">
        <v>4</v>
      </c>
      <c r="V682" s="3" t="s">
        <v>917</v>
      </c>
    </row>
    <row r="683" spans="1:22" x14ac:dyDescent="0.3">
      <c r="A683">
        <v>682</v>
      </c>
      <c r="B683" s="3" t="s">
        <v>327</v>
      </c>
      <c r="C683" s="3" t="s">
        <v>888</v>
      </c>
      <c r="D683" s="3" t="s">
        <v>1583</v>
      </c>
      <c r="E683" s="3" t="s">
        <v>32</v>
      </c>
      <c r="F683" s="1">
        <v>43530</v>
      </c>
      <c r="G683">
        <v>7</v>
      </c>
      <c r="H683" s="3" t="s">
        <v>907</v>
      </c>
      <c r="I683" s="3" t="s">
        <v>28</v>
      </c>
      <c r="J683" s="3" t="s">
        <v>18</v>
      </c>
      <c r="K683" s="3" t="s">
        <v>19</v>
      </c>
      <c r="L683">
        <v>1123</v>
      </c>
      <c r="M683" s="3" t="s">
        <v>909</v>
      </c>
      <c r="N683">
        <v>13476</v>
      </c>
      <c r="O683">
        <v>1925.1428571428571</v>
      </c>
      <c r="P683">
        <v>1</v>
      </c>
      <c r="Q683" s="3" t="s">
        <v>909</v>
      </c>
      <c r="R683">
        <v>0</v>
      </c>
      <c r="S683">
        <v>0</v>
      </c>
      <c r="T683" s="3" t="s">
        <v>916</v>
      </c>
      <c r="U683">
        <v>7</v>
      </c>
      <c r="V683" s="3" t="s">
        <v>917</v>
      </c>
    </row>
    <row r="684" spans="1:22" x14ac:dyDescent="0.3">
      <c r="A684">
        <v>683</v>
      </c>
      <c r="B684" s="3" t="s">
        <v>357</v>
      </c>
      <c r="C684" s="3" t="s">
        <v>758</v>
      </c>
      <c r="D684" s="3" t="s">
        <v>1584</v>
      </c>
      <c r="E684" s="3" t="s">
        <v>32</v>
      </c>
      <c r="F684" s="1">
        <v>42502</v>
      </c>
      <c r="G684">
        <v>10</v>
      </c>
      <c r="H684" s="3" t="s">
        <v>920</v>
      </c>
      <c r="I684" s="3" t="s">
        <v>41</v>
      </c>
      <c r="J684" s="3" t="s">
        <v>29</v>
      </c>
      <c r="K684" s="3" t="s">
        <v>42</v>
      </c>
      <c r="L684">
        <v>2147</v>
      </c>
      <c r="M684" s="3" t="s">
        <v>908</v>
      </c>
      <c r="N684">
        <v>25764</v>
      </c>
      <c r="O684">
        <v>2576.4</v>
      </c>
      <c r="P684">
        <v>3</v>
      </c>
      <c r="Q684" s="3" t="s">
        <v>908</v>
      </c>
      <c r="R684">
        <v>0</v>
      </c>
      <c r="S684">
        <v>4</v>
      </c>
      <c r="T684" s="3" t="s">
        <v>908</v>
      </c>
      <c r="U684">
        <v>2</v>
      </c>
      <c r="V684" s="3" t="s">
        <v>917</v>
      </c>
    </row>
    <row r="685" spans="1:22" x14ac:dyDescent="0.3">
      <c r="A685">
        <v>684</v>
      </c>
      <c r="B685" s="3" t="s">
        <v>889</v>
      </c>
      <c r="C685" s="3" t="s">
        <v>890</v>
      </c>
      <c r="D685" s="3" t="s">
        <v>1585</v>
      </c>
      <c r="E685" s="3" t="s">
        <v>32</v>
      </c>
      <c r="F685" s="1">
        <v>42913</v>
      </c>
      <c r="G685">
        <v>9</v>
      </c>
      <c r="H685" s="3" t="s">
        <v>920</v>
      </c>
      <c r="I685" s="3" t="s">
        <v>50</v>
      </c>
      <c r="J685" s="3" t="s">
        <v>18</v>
      </c>
      <c r="K685" s="3" t="s">
        <v>42</v>
      </c>
      <c r="L685">
        <v>2929</v>
      </c>
      <c r="M685" s="3" t="s">
        <v>913</v>
      </c>
      <c r="N685">
        <v>35148</v>
      </c>
      <c r="O685">
        <v>3905.3333333333335</v>
      </c>
      <c r="P685">
        <v>4.5</v>
      </c>
      <c r="Q685" s="3" t="s">
        <v>913</v>
      </c>
      <c r="R685">
        <v>0</v>
      </c>
      <c r="S685">
        <v>0</v>
      </c>
      <c r="T685" s="3" t="s">
        <v>916</v>
      </c>
      <c r="U685">
        <v>2</v>
      </c>
      <c r="V685" s="3" t="s">
        <v>917</v>
      </c>
    </row>
    <row r="686" spans="1:22" x14ac:dyDescent="0.3">
      <c r="A686">
        <v>685</v>
      </c>
      <c r="B686" s="3" t="s">
        <v>891</v>
      </c>
      <c r="C686" s="3" t="s">
        <v>892</v>
      </c>
      <c r="D686" s="3" t="s">
        <v>1586</v>
      </c>
      <c r="E686" s="3" t="s">
        <v>32</v>
      </c>
      <c r="F686" s="1">
        <v>43977</v>
      </c>
      <c r="G686">
        <v>6</v>
      </c>
      <c r="H686" s="3" t="s">
        <v>912</v>
      </c>
      <c r="I686" s="3" t="s">
        <v>58</v>
      </c>
      <c r="J686" s="3" t="s">
        <v>294</v>
      </c>
      <c r="K686" s="3" t="s">
        <v>60</v>
      </c>
      <c r="L686">
        <v>1452</v>
      </c>
      <c r="M686" s="3" t="s">
        <v>909</v>
      </c>
      <c r="N686">
        <v>17424</v>
      </c>
      <c r="O686">
        <v>2904</v>
      </c>
      <c r="P686">
        <v>2</v>
      </c>
      <c r="Q686" s="3" t="s">
        <v>909</v>
      </c>
      <c r="R686">
        <v>0</v>
      </c>
      <c r="S686">
        <v>3</v>
      </c>
      <c r="T686" s="3" t="s">
        <v>909</v>
      </c>
      <c r="U686">
        <v>1</v>
      </c>
      <c r="V686" s="3" t="s">
        <v>917</v>
      </c>
    </row>
    <row r="687" spans="1:22" x14ac:dyDescent="0.3">
      <c r="A687">
        <v>686</v>
      </c>
      <c r="B687" s="3" t="s">
        <v>893</v>
      </c>
      <c r="C687" s="3" t="s">
        <v>894</v>
      </c>
      <c r="D687" s="3" t="s">
        <v>1587</v>
      </c>
      <c r="E687" s="3" t="s">
        <v>32</v>
      </c>
      <c r="F687" s="1">
        <v>43985</v>
      </c>
      <c r="G687">
        <v>6</v>
      </c>
      <c r="H687" s="3" t="s">
        <v>912</v>
      </c>
      <c r="I687" s="3" t="s">
        <v>53</v>
      </c>
      <c r="J687" s="3" t="s">
        <v>18</v>
      </c>
      <c r="K687" s="3" t="s">
        <v>36</v>
      </c>
      <c r="L687">
        <v>3237</v>
      </c>
      <c r="M687" s="3" t="s">
        <v>913</v>
      </c>
      <c r="N687">
        <v>38844</v>
      </c>
      <c r="O687">
        <v>6474</v>
      </c>
      <c r="P687">
        <v>3</v>
      </c>
      <c r="Q687" s="3" t="s">
        <v>908</v>
      </c>
      <c r="R687">
        <v>1</v>
      </c>
      <c r="S687">
        <v>0</v>
      </c>
      <c r="T687" s="3" t="s">
        <v>909</v>
      </c>
      <c r="U687">
        <v>4</v>
      </c>
      <c r="V687" s="3" t="s">
        <v>917</v>
      </c>
    </row>
    <row r="688" spans="1:22" x14ac:dyDescent="0.3">
      <c r="A688">
        <v>687</v>
      </c>
      <c r="B688" s="3" t="s">
        <v>290</v>
      </c>
      <c r="C688" s="3" t="s">
        <v>895</v>
      </c>
      <c r="D688" s="3" t="s">
        <v>1588</v>
      </c>
      <c r="E688" s="3" t="s">
        <v>32</v>
      </c>
      <c r="F688" s="1">
        <v>42927</v>
      </c>
      <c r="G688">
        <v>9</v>
      </c>
      <c r="H688" s="3" t="s">
        <v>920</v>
      </c>
      <c r="I688" s="3" t="s">
        <v>53</v>
      </c>
      <c r="J688" s="3" t="s">
        <v>18</v>
      </c>
      <c r="K688" s="3" t="s">
        <v>36</v>
      </c>
      <c r="L688">
        <v>2819</v>
      </c>
      <c r="M688" s="3" t="s">
        <v>913</v>
      </c>
      <c r="N688">
        <v>33828</v>
      </c>
      <c r="O688">
        <v>3758.6666666666665</v>
      </c>
      <c r="P688">
        <v>5</v>
      </c>
      <c r="Q688" s="3" t="s">
        <v>913</v>
      </c>
      <c r="R688">
        <v>0</v>
      </c>
      <c r="S688">
        <v>0</v>
      </c>
      <c r="T688" s="3" t="s">
        <v>916</v>
      </c>
      <c r="U688">
        <v>0</v>
      </c>
      <c r="V688" s="3" t="s">
        <v>955</v>
      </c>
    </row>
    <row r="689" spans="1:22" x14ac:dyDescent="0.3">
      <c r="A689">
        <v>688</v>
      </c>
      <c r="B689" s="3" t="s">
        <v>33</v>
      </c>
      <c r="C689" s="3" t="s">
        <v>896</v>
      </c>
      <c r="D689" s="3" t="s">
        <v>1589</v>
      </c>
      <c r="E689" s="3" t="s">
        <v>32</v>
      </c>
      <c r="F689" s="1">
        <v>43250</v>
      </c>
      <c r="G689">
        <v>8</v>
      </c>
      <c r="H689" s="3" t="s">
        <v>907</v>
      </c>
      <c r="I689" s="3" t="s">
        <v>118</v>
      </c>
      <c r="J689" s="3" t="s">
        <v>18</v>
      </c>
      <c r="K689" s="3" t="s">
        <v>36</v>
      </c>
      <c r="L689">
        <v>2069</v>
      </c>
      <c r="M689" s="3" t="s">
        <v>908</v>
      </c>
      <c r="N689">
        <v>24828</v>
      </c>
      <c r="O689">
        <v>3103.5</v>
      </c>
      <c r="P689">
        <v>3</v>
      </c>
      <c r="Q689" s="3" t="s">
        <v>908</v>
      </c>
      <c r="R689">
        <v>0</v>
      </c>
      <c r="S689">
        <v>0</v>
      </c>
      <c r="T689" s="3" t="s">
        <v>916</v>
      </c>
      <c r="U689">
        <v>10</v>
      </c>
      <c r="V689" s="3" t="s">
        <v>917</v>
      </c>
    </row>
    <row r="690" spans="1:22" x14ac:dyDescent="0.3">
      <c r="A690">
        <v>689</v>
      </c>
      <c r="B690" s="3" t="s">
        <v>897</v>
      </c>
      <c r="C690" s="3" t="s">
        <v>504</v>
      </c>
      <c r="D690" s="3" t="s">
        <v>1590</v>
      </c>
      <c r="E690" s="3" t="s">
        <v>32</v>
      </c>
      <c r="F690" s="1">
        <v>44048</v>
      </c>
      <c r="G690">
        <v>6</v>
      </c>
      <c r="H690" s="3" t="s">
        <v>912</v>
      </c>
      <c r="I690" s="3" t="s">
        <v>50</v>
      </c>
      <c r="J690" s="3" t="s">
        <v>29</v>
      </c>
      <c r="K690" s="3" t="s">
        <v>36</v>
      </c>
      <c r="L690">
        <v>2606</v>
      </c>
      <c r="M690" s="3" t="s">
        <v>913</v>
      </c>
      <c r="N690">
        <v>31272</v>
      </c>
      <c r="O690">
        <v>5212</v>
      </c>
      <c r="P690">
        <v>5</v>
      </c>
      <c r="Q690" s="3" t="s">
        <v>913</v>
      </c>
      <c r="R690">
        <v>0</v>
      </c>
      <c r="S690">
        <v>0</v>
      </c>
      <c r="T690" s="3" t="s">
        <v>916</v>
      </c>
      <c r="U690">
        <v>0</v>
      </c>
      <c r="V690" s="3" t="s">
        <v>955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40C42-3FFF-294B-B48E-1F99F63C26DF}">
  <dimension ref="A1:O690"/>
  <sheetViews>
    <sheetView zoomScale="115" zoomScaleNormal="115" workbookViewId="0">
      <selection activeCell="B1" sqref="B1"/>
    </sheetView>
  </sheetViews>
  <sheetFormatPr defaultColWidth="11.09765625" defaultRowHeight="15.6" x14ac:dyDescent="0.3"/>
  <cols>
    <col min="2" max="2" width="13" bestFit="1" customWidth="1"/>
    <col min="3" max="3" width="14.5" bestFit="1" customWidth="1"/>
    <col min="5" max="6" width="13" style="1" customWidth="1"/>
    <col min="7" max="7" width="25.09765625" bestFit="1" customWidth="1"/>
    <col min="8" max="8" width="25.09765625" customWidth="1"/>
    <col min="10" max="10" width="13.8984375" bestFit="1" customWidth="1"/>
    <col min="11" max="11" width="12.59765625" bestFit="1" customWidth="1"/>
    <col min="13" max="13" width="13.09765625" bestFit="1" customWidth="1"/>
    <col min="14" max="14" width="15.59765625" bestFit="1" customWidth="1"/>
    <col min="15" max="15" width="16.8984375" bestFit="1" customWidth="1"/>
  </cols>
  <sheetData>
    <row r="1" spans="1:15" x14ac:dyDescent="0.3">
      <c r="A1" t="s">
        <v>0</v>
      </c>
      <c r="B1" t="s">
        <v>1</v>
      </c>
      <c r="C1" t="s">
        <v>2</v>
      </c>
      <c r="D1" t="s">
        <v>3</v>
      </c>
      <c r="E1" s="1" t="s">
        <v>4</v>
      </c>
      <c r="F1" s="1" t="s">
        <v>5</v>
      </c>
      <c r="G1" t="s">
        <v>6</v>
      </c>
      <c r="H1" t="s">
        <v>7</v>
      </c>
      <c r="I1" t="s">
        <v>8</v>
      </c>
      <c r="J1" t="s">
        <v>9</v>
      </c>
      <c r="K1" t="s">
        <v>10</v>
      </c>
      <c r="L1" t="s">
        <v>11</v>
      </c>
      <c r="M1" t="s">
        <v>12</v>
      </c>
      <c r="N1" t="s">
        <v>13</v>
      </c>
      <c r="O1" t="s">
        <v>14</v>
      </c>
    </row>
    <row r="2" spans="1:15" x14ac:dyDescent="0.3">
      <c r="A2">
        <v>1</v>
      </c>
      <c r="B2" t="s">
        <v>15</v>
      </c>
      <c r="C2" t="s">
        <v>16</v>
      </c>
      <c r="D2" t="s">
        <v>32</v>
      </c>
      <c r="E2" s="1">
        <v>43194</v>
      </c>
      <c r="F2" s="2">
        <f ca="1">DATEDIF(EmpTable[[#This Row],[Start Date]],TODAY(),"Y")</f>
        <v>8</v>
      </c>
      <c r="G2" t="s">
        <v>17</v>
      </c>
      <c r="H2" t="s">
        <v>18</v>
      </c>
      <c r="I2" t="s">
        <v>19</v>
      </c>
      <c r="J2">
        <v>1560</v>
      </c>
      <c r="K2">
        <v>18720</v>
      </c>
      <c r="L2">
        <v>3</v>
      </c>
      <c r="M2">
        <v>1</v>
      </c>
      <c r="N2">
        <v>0</v>
      </c>
      <c r="O2">
        <v>183</v>
      </c>
    </row>
    <row r="3" spans="1:15" x14ac:dyDescent="0.3">
      <c r="A3">
        <v>2</v>
      </c>
      <c r="B3" t="s">
        <v>20</v>
      </c>
      <c r="C3" t="s">
        <v>21</v>
      </c>
      <c r="D3" t="s">
        <v>32</v>
      </c>
      <c r="E3" s="1">
        <v>43972</v>
      </c>
      <c r="F3" s="2">
        <f ca="1">DATEDIF(EmpTable[[#This Row],[Start Date]],TODAY(),"Y")</f>
        <v>6</v>
      </c>
      <c r="G3" t="s">
        <v>17</v>
      </c>
      <c r="H3" t="s">
        <v>22</v>
      </c>
      <c r="I3" t="s">
        <v>19</v>
      </c>
      <c r="J3">
        <v>3247</v>
      </c>
      <c r="K3">
        <v>38964</v>
      </c>
      <c r="L3">
        <v>1</v>
      </c>
      <c r="M3">
        <v>0</v>
      </c>
      <c r="N3">
        <v>5</v>
      </c>
      <c r="O3">
        <v>198</v>
      </c>
    </row>
    <row r="4" spans="1:15" x14ac:dyDescent="0.3">
      <c r="A4">
        <v>3</v>
      </c>
      <c r="B4" t="s">
        <v>23</v>
      </c>
      <c r="C4" t="s">
        <v>24</v>
      </c>
      <c r="D4" t="s">
        <v>307</v>
      </c>
      <c r="E4" s="1">
        <v>43006</v>
      </c>
      <c r="F4" s="2">
        <f ca="1">DATEDIF(EmpTable[[#This Row],[Start Date]],TODAY(),"Y")</f>
        <v>8</v>
      </c>
      <c r="G4" t="s">
        <v>25</v>
      </c>
      <c r="H4" t="s">
        <v>22</v>
      </c>
      <c r="I4" t="s">
        <v>19</v>
      </c>
      <c r="J4">
        <v>2506</v>
      </c>
      <c r="K4">
        <v>30072</v>
      </c>
      <c r="L4">
        <v>2</v>
      </c>
      <c r="M4">
        <v>0</v>
      </c>
      <c r="N4">
        <v>3</v>
      </c>
      <c r="O4">
        <v>192</v>
      </c>
    </row>
    <row r="5" spans="1:15" x14ac:dyDescent="0.3">
      <c r="A5">
        <v>4</v>
      </c>
      <c r="B5" t="s">
        <v>26</v>
      </c>
      <c r="C5" t="s">
        <v>27</v>
      </c>
      <c r="D5" t="s">
        <v>32</v>
      </c>
      <c r="E5" s="1">
        <v>43326</v>
      </c>
      <c r="F5" s="2">
        <f ca="1">DATEDIF(EmpTable[[#This Row],[Start Date]],TODAY(),"Y")</f>
        <v>8</v>
      </c>
      <c r="G5" t="s">
        <v>28</v>
      </c>
      <c r="H5" t="s">
        <v>29</v>
      </c>
      <c r="I5" t="s">
        <v>42</v>
      </c>
      <c r="J5">
        <v>1828</v>
      </c>
      <c r="K5">
        <v>21936</v>
      </c>
      <c r="L5">
        <v>3</v>
      </c>
      <c r="M5">
        <v>0</v>
      </c>
      <c r="N5">
        <v>0</v>
      </c>
      <c r="O5">
        <v>7</v>
      </c>
    </row>
    <row r="6" spans="1:15" x14ac:dyDescent="0.3">
      <c r="A6">
        <v>5</v>
      </c>
      <c r="B6" t="s">
        <v>30</v>
      </c>
      <c r="C6" t="s">
        <v>31</v>
      </c>
      <c r="D6" t="s">
        <v>32</v>
      </c>
      <c r="E6" s="1">
        <v>43901</v>
      </c>
      <c r="F6" s="2">
        <f ca="1">DATEDIF(EmpTable[[#This Row],[Start Date]],TODAY(),"Y")</f>
        <v>6</v>
      </c>
      <c r="G6" t="s">
        <v>28</v>
      </c>
      <c r="H6" t="s">
        <v>18</v>
      </c>
      <c r="I6" t="s">
        <v>42</v>
      </c>
      <c r="J6">
        <v>970</v>
      </c>
      <c r="K6">
        <v>11640</v>
      </c>
      <c r="L6">
        <v>5</v>
      </c>
      <c r="M6">
        <v>0</v>
      </c>
      <c r="N6">
        <v>5</v>
      </c>
      <c r="O6">
        <v>121</v>
      </c>
    </row>
    <row r="7" spans="1:15" x14ac:dyDescent="0.3">
      <c r="A7">
        <v>6</v>
      </c>
      <c r="B7" t="s">
        <v>33</v>
      </c>
      <c r="C7" t="s">
        <v>34</v>
      </c>
      <c r="D7" t="s">
        <v>32</v>
      </c>
      <c r="E7" s="1">
        <v>42402</v>
      </c>
      <c r="F7" s="2">
        <f ca="1">DATEDIF(EmpTable[[#This Row],[Start Date]],TODAY(),"Y")</f>
        <v>10</v>
      </c>
      <c r="G7" t="s">
        <v>35</v>
      </c>
      <c r="H7" t="s">
        <v>22</v>
      </c>
      <c r="I7" t="s">
        <v>36</v>
      </c>
      <c r="J7">
        <v>2332</v>
      </c>
      <c r="K7">
        <v>27984</v>
      </c>
      <c r="L7">
        <v>3</v>
      </c>
      <c r="M7">
        <v>3</v>
      </c>
      <c r="N7">
        <v>0</v>
      </c>
      <c r="O7">
        <v>8</v>
      </c>
    </row>
    <row r="8" spans="1:15" x14ac:dyDescent="0.3">
      <c r="A8">
        <v>7</v>
      </c>
      <c r="B8" t="s">
        <v>37</v>
      </c>
      <c r="C8" t="s">
        <v>38</v>
      </c>
      <c r="D8" t="s">
        <v>307</v>
      </c>
      <c r="E8" s="1">
        <v>43959</v>
      </c>
      <c r="F8" s="2">
        <f ca="1">DATEDIF(EmpTable[[#This Row],[Start Date]],TODAY(),"Y")</f>
        <v>6</v>
      </c>
      <c r="G8" t="s">
        <v>39</v>
      </c>
      <c r="H8" t="s">
        <v>29</v>
      </c>
      <c r="I8" t="s">
        <v>42</v>
      </c>
      <c r="J8">
        <v>1959</v>
      </c>
      <c r="K8">
        <v>23508</v>
      </c>
      <c r="L8">
        <v>3</v>
      </c>
      <c r="M8">
        <v>6</v>
      </c>
      <c r="N8">
        <v>0</v>
      </c>
      <c r="O8">
        <v>116</v>
      </c>
    </row>
    <row r="9" spans="1:15" x14ac:dyDescent="0.3">
      <c r="A9">
        <v>8</v>
      </c>
      <c r="B9" t="s">
        <v>33</v>
      </c>
      <c r="C9" t="s">
        <v>40</v>
      </c>
      <c r="D9" t="s">
        <v>32</v>
      </c>
      <c r="E9" s="1">
        <v>43141</v>
      </c>
      <c r="F9" s="2">
        <f ca="1">DATEDIF(EmpTable[[#This Row],[Start Date]],TODAY(),"Y")</f>
        <v>8</v>
      </c>
      <c r="G9" t="s">
        <v>41</v>
      </c>
      <c r="H9" t="s">
        <v>18</v>
      </c>
      <c r="I9" t="s">
        <v>42</v>
      </c>
      <c r="J9">
        <v>3394</v>
      </c>
      <c r="K9">
        <v>40728</v>
      </c>
      <c r="L9">
        <v>5</v>
      </c>
      <c r="M9">
        <v>0</v>
      </c>
      <c r="N9">
        <v>0</v>
      </c>
      <c r="O9">
        <v>7</v>
      </c>
    </row>
    <row r="10" spans="1:15" x14ac:dyDescent="0.3">
      <c r="A10">
        <v>9</v>
      </c>
      <c r="B10" t="s">
        <v>43</v>
      </c>
      <c r="C10" t="s">
        <v>44</v>
      </c>
      <c r="D10" t="s">
        <v>307</v>
      </c>
      <c r="E10" s="1">
        <v>43170</v>
      </c>
      <c r="F10" s="2">
        <f ca="1">DATEDIF(EmpTable[[#This Row],[Start Date]],TODAY(),"Y")</f>
        <v>8</v>
      </c>
      <c r="G10" t="s">
        <v>45</v>
      </c>
      <c r="H10" t="s">
        <v>18</v>
      </c>
      <c r="I10" t="s">
        <v>36</v>
      </c>
      <c r="J10">
        <v>1479</v>
      </c>
      <c r="K10">
        <v>17748</v>
      </c>
      <c r="L10">
        <v>4.5</v>
      </c>
      <c r="M10">
        <v>0</v>
      </c>
      <c r="N10">
        <v>0</v>
      </c>
      <c r="O10">
        <v>105</v>
      </c>
    </row>
    <row r="11" spans="1:15" x14ac:dyDescent="0.3">
      <c r="A11">
        <v>10</v>
      </c>
      <c r="B11" t="s">
        <v>33</v>
      </c>
      <c r="C11" t="s">
        <v>46</v>
      </c>
      <c r="D11" t="s">
        <v>32</v>
      </c>
      <c r="E11" s="1">
        <v>43833</v>
      </c>
      <c r="F11" s="2">
        <f ca="1">DATEDIF(EmpTable[[#This Row],[Start Date]],TODAY(),"Y")</f>
        <v>6</v>
      </c>
      <c r="G11" t="s">
        <v>41</v>
      </c>
      <c r="H11" t="s">
        <v>18</v>
      </c>
      <c r="I11" t="s">
        <v>42</v>
      </c>
      <c r="J11">
        <v>1186</v>
      </c>
      <c r="K11">
        <v>14232</v>
      </c>
      <c r="L11">
        <v>4.5</v>
      </c>
      <c r="M11">
        <v>1</v>
      </c>
      <c r="N11">
        <v>0</v>
      </c>
      <c r="O11">
        <v>153</v>
      </c>
    </row>
    <row r="12" spans="1:15" x14ac:dyDescent="0.3">
      <c r="A12">
        <v>11</v>
      </c>
      <c r="B12" t="s">
        <v>33</v>
      </c>
      <c r="C12" t="s">
        <v>47</v>
      </c>
      <c r="D12" t="s">
        <v>32</v>
      </c>
      <c r="E12" s="1">
        <v>43116</v>
      </c>
      <c r="F12" s="2">
        <f ca="1">DATEDIF(EmpTable[[#This Row],[Start Date]],TODAY(),"Y")</f>
        <v>8</v>
      </c>
      <c r="G12" t="s">
        <v>28</v>
      </c>
      <c r="H12" t="s">
        <v>48</v>
      </c>
      <c r="I12" t="s">
        <v>42</v>
      </c>
      <c r="J12">
        <v>1485</v>
      </c>
      <c r="K12">
        <v>17820</v>
      </c>
      <c r="L12">
        <v>2</v>
      </c>
      <c r="M12">
        <v>5</v>
      </c>
      <c r="N12">
        <v>0</v>
      </c>
      <c r="O12">
        <v>12</v>
      </c>
    </row>
    <row r="13" spans="1:15" x14ac:dyDescent="0.3">
      <c r="A13">
        <v>12</v>
      </c>
      <c r="B13" t="s">
        <v>33</v>
      </c>
      <c r="C13" t="s">
        <v>49</v>
      </c>
      <c r="D13" t="s">
        <v>32</v>
      </c>
      <c r="E13" s="1">
        <v>43300</v>
      </c>
      <c r="F13" s="2">
        <f ca="1">DATEDIF(EmpTable[[#This Row],[Start Date]],TODAY(),"Y")</f>
        <v>8</v>
      </c>
      <c r="G13" t="s">
        <v>50</v>
      </c>
      <c r="H13" t="s">
        <v>18</v>
      </c>
      <c r="I13" t="s">
        <v>42</v>
      </c>
      <c r="J13">
        <v>2016</v>
      </c>
      <c r="K13">
        <v>24192</v>
      </c>
      <c r="L13">
        <v>1</v>
      </c>
      <c r="M13">
        <v>2</v>
      </c>
      <c r="N13">
        <v>0</v>
      </c>
      <c r="O13">
        <v>70</v>
      </c>
    </row>
    <row r="14" spans="1:15" x14ac:dyDescent="0.3">
      <c r="A14">
        <v>13</v>
      </c>
      <c r="B14" t="s">
        <v>51</v>
      </c>
      <c r="C14" t="s">
        <v>52</v>
      </c>
      <c r="D14" t="s">
        <v>307</v>
      </c>
      <c r="E14" s="1">
        <v>43415</v>
      </c>
      <c r="F14" s="2">
        <f ca="1">DATEDIF(EmpTable[[#This Row],[Start Date]],TODAY(),"Y")</f>
        <v>7</v>
      </c>
      <c r="G14" t="s">
        <v>53</v>
      </c>
      <c r="H14" t="s">
        <v>18</v>
      </c>
      <c r="I14" t="s">
        <v>42</v>
      </c>
      <c r="J14">
        <v>1999</v>
      </c>
      <c r="K14">
        <v>23988</v>
      </c>
      <c r="L14">
        <v>5</v>
      </c>
      <c r="M14">
        <v>6</v>
      </c>
      <c r="N14">
        <v>0</v>
      </c>
      <c r="O14">
        <v>85</v>
      </c>
    </row>
    <row r="15" spans="1:15" x14ac:dyDescent="0.3">
      <c r="A15">
        <v>14</v>
      </c>
      <c r="B15" t="s">
        <v>54</v>
      </c>
      <c r="C15" t="s">
        <v>55</v>
      </c>
      <c r="D15" t="s">
        <v>307</v>
      </c>
      <c r="E15" s="1">
        <v>42430</v>
      </c>
      <c r="F15" s="2">
        <f ca="1">DATEDIF(EmpTable[[#This Row],[Start Date]],TODAY(),"Y")</f>
        <v>10</v>
      </c>
      <c r="G15" t="s">
        <v>53</v>
      </c>
      <c r="H15" t="s">
        <v>29</v>
      </c>
      <c r="I15" t="s">
        <v>36</v>
      </c>
      <c r="J15">
        <v>3404</v>
      </c>
      <c r="K15">
        <v>40848</v>
      </c>
      <c r="L15">
        <v>5</v>
      </c>
      <c r="M15">
        <v>1</v>
      </c>
      <c r="N15">
        <v>0</v>
      </c>
      <c r="O15">
        <v>8</v>
      </c>
    </row>
    <row r="16" spans="1:15" x14ac:dyDescent="0.3">
      <c r="A16">
        <v>15</v>
      </c>
      <c r="B16" t="s">
        <v>56</v>
      </c>
      <c r="C16" t="s">
        <v>57</v>
      </c>
      <c r="D16" t="s">
        <v>307</v>
      </c>
      <c r="E16" s="1">
        <v>43438</v>
      </c>
      <c r="F16" s="2">
        <f ca="1">DATEDIF(EmpTable[[#This Row],[Start Date]],TODAY(),"Y")</f>
        <v>7</v>
      </c>
      <c r="G16" t="s">
        <v>58</v>
      </c>
      <c r="H16" t="s">
        <v>18</v>
      </c>
      <c r="I16" t="s">
        <v>42</v>
      </c>
      <c r="J16">
        <v>889</v>
      </c>
      <c r="K16">
        <v>10668</v>
      </c>
      <c r="L16">
        <v>3</v>
      </c>
      <c r="M16">
        <v>1</v>
      </c>
      <c r="N16">
        <v>1</v>
      </c>
      <c r="O16">
        <v>8</v>
      </c>
    </row>
    <row r="17" spans="1:15" x14ac:dyDescent="0.3">
      <c r="A17">
        <v>16</v>
      </c>
      <c r="B17" t="s">
        <v>59</v>
      </c>
      <c r="C17" t="s">
        <v>33</v>
      </c>
      <c r="D17" t="s">
        <v>32</v>
      </c>
      <c r="E17" s="1">
        <v>43745</v>
      </c>
      <c r="F17" s="2">
        <f ca="1">DATEDIF(EmpTable[[#This Row],[Start Date]],TODAY(),"Y")</f>
        <v>6</v>
      </c>
      <c r="G17" t="s">
        <v>39</v>
      </c>
      <c r="H17" t="s">
        <v>18</v>
      </c>
      <c r="I17" t="s">
        <v>60</v>
      </c>
      <c r="J17">
        <v>930</v>
      </c>
      <c r="K17">
        <v>11160</v>
      </c>
      <c r="L17">
        <v>3</v>
      </c>
      <c r="M17">
        <v>0</v>
      </c>
      <c r="N17">
        <v>0</v>
      </c>
      <c r="O17">
        <v>77</v>
      </c>
    </row>
    <row r="18" spans="1:15" x14ac:dyDescent="0.3">
      <c r="A18">
        <v>17</v>
      </c>
      <c r="B18" t="s">
        <v>61</v>
      </c>
      <c r="C18" t="s">
        <v>62</v>
      </c>
      <c r="D18" t="s">
        <v>307</v>
      </c>
      <c r="E18" s="1">
        <v>42517</v>
      </c>
      <c r="F18" s="2">
        <f ca="1">DATEDIF(EmpTable[[#This Row],[Start Date]],TODAY(),"Y")</f>
        <v>10</v>
      </c>
      <c r="G18" t="s">
        <v>41</v>
      </c>
      <c r="H18" t="s">
        <v>22</v>
      </c>
      <c r="I18" t="s">
        <v>19</v>
      </c>
      <c r="J18">
        <v>3149</v>
      </c>
      <c r="K18">
        <v>37788</v>
      </c>
      <c r="L18">
        <v>4.5</v>
      </c>
      <c r="M18">
        <v>0</v>
      </c>
      <c r="N18">
        <v>0</v>
      </c>
      <c r="O18">
        <v>93</v>
      </c>
    </row>
    <row r="19" spans="1:15" x14ac:dyDescent="0.3">
      <c r="A19">
        <v>18</v>
      </c>
      <c r="B19" t="s">
        <v>63</v>
      </c>
      <c r="C19" t="s">
        <v>64</v>
      </c>
      <c r="D19" t="s">
        <v>32</v>
      </c>
      <c r="E19" s="1">
        <v>43232</v>
      </c>
      <c r="F19" s="2">
        <f ca="1">DATEDIF(EmpTable[[#This Row],[Start Date]],TODAY(),"Y")</f>
        <v>8</v>
      </c>
      <c r="G19" t="s">
        <v>17</v>
      </c>
      <c r="H19" t="s">
        <v>29</v>
      </c>
      <c r="I19" t="s">
        <v>19</v>
      </c>
      <c r="J19">
        <v>1295</v>
      </c>
      <c r="K19">
        <v>15540</v>
      </c>
      <c r="L19">
        <v>3</v>
      </c>
      <c r="M19">
        <v>4</v>
      </c>
      <c r="N19">
        <v>0</v>
      </c>
      <c r="O19">
        <v>153</v>
      </c>
    </row>
    <row r="20" spans="1:15" x14ac:dyDescent="0.3">
      <c r="A20">
        <v>19</v>
      </c>
      <c r="B20" t="s">
        <v>65</v>
      </c>
      <c r="C20" t="s">
        <v>66</v>
      </c>
      <c r="D20" t="s">
        <v>307</v>
      </c>
      <c r="E20" s="1">
        <v>43214</v>
      </c>
      <c r="F20" s="2">
        <f ca="1">DATEDIF(EmpTable[[#This Row],[Start Date]],TODAY(),"Y")</f>
        <v>8</v>
      </c>
      <c r="G20" t="s">
        <v>17</v>
      </c>
      <c r="H20" t="s">
        <v>29</v>
      </c>
      <c r="I20" t="s">
        <v>60</v>
      </c>
      <c r="J20">
        <v>2162</v>
      </c>
      <c r="K20">
        <v>25944</v>
      </c>
      <c r="L20">
        <v>3</v>
      </c>
      <c r="M20">
        <v>0</v>
      </c>
      <c r="N20">
        <v>0</v>
      </c>
      <c r="O20">
        <v>8</v>
      </c>
    </row>
    <row r="21" spans="1:15" x14ac:dyDescent="0.3">
      <c r="A21">
        <v>20</v>
      </c>
      <c r="B21" t="s">
        <v>67</v>
      </c>
      <c r="C21" t="s">
        <v>68</v>
      </c>
      <c r="D21" t="s">
        <v>32</v>
      </c>
      <c r="E21" s="1">
        <v>43740</v>
      </c>
      <c r="F21" s="2">
        <f ca="1">DATEDIF(EmpTable[[#This Row],[Start Date]],TODAY(),"Y")</f>
        <v>6</v>
      </c>
      <c r="G21" t="s">
        <v>35</v>
      </c>
      <c r="H21" t="s">
        <v>29</v>
      </c>
      <c r="I21" t="s">
        <v>19</v>
      </c>
      <c r="J21">
        <v>2180</v>
      </c>
      <c r="K21">
        <v>26160</v>
      </c>
      <c r="L21">
        <v>2</v>
      </c>
      <c r="M21">
        <v>6</v>
      </c>
      <c r="N21">
        <v>0</v>
      </c>
      <c r="O21">
        <v>10</v>
      </c>
    </row>
    <row r="22" spans="1:15" x14ac:dyDescent="0.3">
      <c r="A22">
        <v>21</v>
      </c>
      <c r="B22" t="s">
        <v>69</v>
      </c>
      <c r="C22" t="s">
        <v>70</v>
      </c>
      <c r="D22" t="s">
        <v>32</v>
      </c>
      <c r="E22" s="1">
        <v>44168</v>
      </c>
      <c r="F22" s="2">
        <f ca="1">DATEDIF(EmpTable[[#This Row],[Start Date]],TODAY(),"Y")</f>
        <v>5</v>
      </c>
      <c r="G22" t="s">
        <v>41</v>
      </c>
      <c r="H22" t="s">
        <v>18</v>
      </c>
      <c r="I22" t="s">
        <v>42</v>
      </c>
      <c r="J22">
        <v>1475</v>
      </c>
      <c r="K22">
        <v>17700</v>
      </c>
      <c r="L22">
        <v>5</v>
      </c>
      <c r="M22">
        <v>0</v>
      </c>
      <c r="N22">
        <v>0</v>
      </c>
      <c r="O22">
        <v>98</v>
      </c>
    </row>
    <row r="23" spans="1:15" x14ac:dyDescent="0.3">
      <c r="A23">
        <v>22</v>
      </c>
      <c r="B23" t="s">
        <v>71</v>
      </c>
      <c r="C23" t="s">
        <v>72</v>
      </c>
      <c r="D23" t="s">
        <v>32</v>
      </c>
      <c r="E23" s="1">
        <v>43473</v>
      </c>
      <c r="F23" s="2">
        <f ca="1">DATEDIF(EmpTable[[#This Row],[Start Date]],TODAY(),"Y")</f>
        <v>7</v>
      </c>
      <c r="G23" t="s">
        <v>73</v>
      </c>
      <c r="H23" t="s">
        <v>18</v>
      </c>
      <c r="I23" t="s">
        <v>42</v>
      </c>
      <c r="J23">
        <v>1290</v>
      </c>
      <c r="K23">
        <v>15480</v>
      </c>
      <c r="L23">
        <v>3</v>
      </c>
      <c r="M23">
        <v>4</v>
      </c>
      <c r="N23">
        <v>0</v>
      </c>
      <c r="O23">
        <v>109</v>
      </c>
    </row>
    <row r="24" spans="1:15" x14ac:dyDescent="0.3">
      <c r="A24">
        <v>23</v>
      </c>
      <c r="B24" t="s">
        <v>74</v>
      </c>
      <c r="C24" t="s">
        <v>75</v>
      </c>
      <c r="D24" t="s">
        <v>32</v>
      </c>
      <c r="E24" s="1">
        <v>43783</v>
      </c>
      <c r="F24" s="2">
        <f ca="1">DATEDIF(EmpTable[[#This Row],[Start Date]],TODAY(),"Y")</f>
        <v>6</v>
      </c>
      <c r="G24" t="s">
        <v>76</v>
      </c>
      <c r="H24" t="s">
        <v>22</v>
      </c>
      <c r="I24" t="s">
        <v>42</v>
      </c>
      <c r="J24">
        <v>1764</v>
      </c>
      <c r="K24">
        <v>21168</v>
      </c>
      <c r="L24">
        <v>3</v>
      </c>
      <c r="M24">
        <v>0</v>
      </c>
      <c r="N24">
        <v>0</v>
      </c>
      <c r="O24">
        <v>111</v>
      </c>
    </row>
    <row r="25" spans="1:15" x14ac:dyDescent="0.3">
      <c r="A25">
        <v>24</v>
      </c>
      <c r="B25" t="s">
        <v>30</v>
      </c>
      <c r="C25" t="s">
        <v>30</v>
      </c>
      <c r="D25" t="s">
        <v>32</v>
      </c>
      <c r="E25" s="1">
        <v>43755</v>
      </c>
      <c r="F25" s="2">
        <f ca="1">DATEDIF(EmpTable[[#This Row],[Start Date]],TODAY(),"Y")</f>
        <v>6</v>
      </c>
      <c r="G25" t="s">
        <v>77</v>
      </c>
      <c r="H25" t="s">
        <v>22</v>
      </c>
      <c r="I25" t="s">
        <v>19</v>
      </c>
      <c r="J25">
        <v>2682</v>
      </c>
      <c r="K25">
        <v>32184</v>
      </c>
      <c r="L25">
        <v>4.5</v>
      </c>
      <c r="M25">
        <v>1</v>
      </c>
      <c r="N25">
        <v>0</v>
      </c>
      <c r="O25">
        <v>32</v>
      </c>
    </row>
    <row r="26" spans="1:15" x14ac:dyDescent="0.3">
      <c r="A26">
        <v>25</v>
      </c>
      <c r="B26" t="s">
        <v>33</v>
      </c>
      <c r="C26" t="s">
        <v>78</v>
      </c>
      <c r="D26" t="s">
        <v>32</v>
      </c>
      <c r="E26" s="1">
        <v>44178</v>
      </c>
      <c r="F26" s="2">
        <f ca="1">DATEDIF(EmpTable[[#This Row],[Start Date]],TODAY(),"Y")</f>
        <v>5</v>
      </c>
      <c r="G26" t="s">
        <v>50</v>
      </c>
      <c r="H26" t="s">
        <v>18</v>
      </c>
      <c r="I26" t="s">
        <v>36</v>
      </c>
      <c r="J26">
        <v>3044</v>
      </c>
      <c r="K26">
        <v>36528</v>
      </c>
      <c r="L26">
        <v>3</v>
      </c>
      <c r="M26">
        <v>6</v>
      </c>
      <c r="N26">
        <v>0</v>
      </c>
      <c r="O26">
        <v>94</v>
      </c>
    </row>
    <row r="27" spans="1:15" x14ac:dyDescent="0.3">
      <c r="A27">
        <v>26</v>
      </c>
      <c r="B27" t="s">
        <v>79</v>
      </c>
      <c r="C27" t="s">
        <v>80</v>
      </c>
      <c r="D27" t="s">
        <v>307</v>
      </c>
      <c r="E27" s="1">
        <v>44045</v>
      </c>
      <c r="F27" s="2">
        <f ca="1">DATEDIF(EmpTable[[#This Row],[Start Date]],TODAY(),"Y")</f>
        <v>6</v>
      </c>
      <c r="G27" t="s">
        <v>35</v>
      </c>
      <c r="H27" t="s">
        <v>18</v>
      </c>
      <c r="I27" t="s">
        <v>42</v>
      </c>
      <c r="J27">
        <v>890</v>
      </c>
      <c r="K27">
        <v>10680</v>
      </c>
      <c r="L27">
        <v>4.5</v>
      </c>
      <c r="M27">
        <v>0</v>
      </c>
      <c r="N27">
        <v>0</v>
      </c>
      <c r="O27">
        <v>13</v>
      </c>
    </row>
    <row r="28" spans="1:15" x14ac:dyDescent="0.3">
      <c r="A28">
        <v>27</v>
      </c>
      <c r="B28" t="s">
        <v>72</v>
      </c>
      <c r="C28" t="s">
        <v>81</v>
      </c>
      <c r="D28" t="s">
        <v>32</v>
      </c>
      <c r="E28" s="1">
        <v>43437</v>
      </c>
      <c r="F28" s="2">
        <f ca="1">DATEDIF(EmpTable[[#This Row],[Start Date]],TODAY(),"Y")</f>
        <v>7</v>
      </c>
      <c r="G28" t="s">
        <v>17</v>
      </c>
      <c r="H28" t="s">
        <v>18</v>
      </c>
      <c r="I28" t="s">
        <v>19</v>
      </c>
      <c r="J28">
        <v>2207</v>
      </c>
      <c r="K28">
        <v>26484</v>
      </c>
      <c r="L28">
        <v>5</v>
      </c>
      <c r="M28">
        <v>0</v>
      </c>
      <c r="N28">
        <v>0</v>
      </c>
      <c r="O28">
        <v>70</v>
      </c>
    </row>
    <row r="29" spans="1:15" x14ac:dyDescent="0.3">
      <c r="A29">
        <v>28</v>
      </c>
      <c r="B29" t="s">
        <v>82</v>
      </c>
      <c r="C29" t="s">
        <v>83</v>
      </c>
      <c r="D29" t="s">
        <v>307</v>
      </c>
      <c r="E29" s="1">
        <v>43530</v>
      </c>
      <c r="F29" s="2">
        <f ca="1">DATEDIF(EmpTable[[#This Row],[Start Date]],TODAY(),"Y")</f>
        <v>7</v>
      </c>
      <c r="G29" t="s">
        <v>28</v>
      </c>
      <c r="H29" t="s">
        <v>22</v>
      </c>
      <c r="I29" t="s">
        <v>19</v>
      </c>
      <c r="J29">
        <v>2136</v>
      </c>
      <c r="K29">
        <v>25632</v>
      </c>
      <c r="L29">
        <v>4.5</v>
      </c>
      <c r="M29">
        <v>1</v>
      </c>
      <c r="N29">
        <v>0</v>
      </c>
      <c r="O29">
        <v>9</v>
      </c>
    </row>
    <row r="30" spans="1:15" x14ac:dyDescent="0.3">
      <c r="A30">
        <v>29</v>
      </c>
      <c r="B30" t="s">
        <v>84</v>
      </c>
      <c r="C30" t="s">
        <v>85</v>
      </c>
      <c r="D30" t="s">
        <v>307</v>
      </c>
      <c r="E30" s="1">
        <v>43815</v>
      </c>
      <c r="F30" s="2">
        <f ca="1">DATEDIF(EmpTable[[#This Row],[Start Date]],TODAY(),"Y")</f>
        <v>6</v>
      </c>
      <c r="G30" t="s">
        <v>17</v>
      </c>
      <c r="H30" t="s">
        <v>18</v>
      </c>
      <c r="I30" t="s">
        <v>42</v>
      </c>
      <c r="J30">
        <v>1161</v>
      </c>
      <c r="K30">
        <v>13932</v>
      </c>
      <c r="L30">
        <v>5</v>
      </c>
      <c r="M30">
        <v>0</v>
      </c>
      <c r="N30">
        <v>1</v>
      </c>
      <c r="O30">
        <v>97</v>
      </c>
    </row>
    <row r="31" spans="1:15" x14ac:dyDescent="0.3">
      <c r="A31">
        <v>30</v>
      </c>
      <c r="B31" t="s">
        <v>86</v>
      </c>
      <c r="C31" t="s">
        <v>87</v>
      </c>
      <c r="D31" t="s">
        <v>32</v>
      </c>
      <c r="E31" s="1">
        <v>43690</v>
      </c>
      <c r="F31" s="2">
        <f ca="1">DATEDIF(EmpTable[[#This Row],[Start Date]],TODAY(),"Y")</f>
        <v>7</v>
      </c>
      <c r="G31" t="s">
        <v>88</v>
      </c>
      <c r="H31" t="s">
        <v>29</v>
      </c>
      <c r="I31" t="s">
        <v>19</v>
      </c>
      <c r="J31">
        <v>830</v>
      </c>
      <c r="K31">
        <v>9960</v>
      </c>
      <c r="L31">
        <v>5</v>
      </c>
      <c r="M31">
        <v>0</v>
      </c>
      <c r="N31">
        <v>0</v>
      </c>
      <c r="O31">
        <v>71</v>
      </c>
    </row>
    <row r="32" spans="1:15" x14ac:dyDescent="0.3">
      <c r="A32">
        <v>31</v>
      </c>
      <c r="B32" t="s">
        <v>89</v>
      </c>
      <c r="C32" t="s">
        <v>90</v>
      </c>
      <c r="D32" t="s">
        <v>307</v>
      </c>
      <c r="E32" s="1">
        <v>43991</v>
      </c>
      <c r="F32" s="2">
        <f ca="1">DATEDIF(EmpTable[[#This Row],[Start Date]],TODAY(),"Y")</f>
        <v>6</v>
      </c>
      <c r="G32" t="s">
        <v>77</v>
      </c>
      <c r="H32" t="s">
        <v>22</v>
      </c>
      <c r="I32" t="s">
        <v>19</v>
      </c>
      <c r="J32">
        <v>2977</v>
      </c>
      <c r="K32">
        <v>35724</v>
      </c>
      <c r="L32">
        <v>5</v>
      </c>
      <c r="M32">
        <v>0</v>
      </c>
      <c r="N32">
        <v>0</v>
      </c>
      <c r="O32">
        <v>100</v>
      </c>
    </row>
    <row r="33" spans="1:15" x14ac:dyDescent="0.3">
      <c r="A33">
        <v>32</v>
      </c>
      <c r="B33" t="s">
        <v>91</v>
      </c>
      <c r="C33" t="s">
        <v>92</v>
      </c>
      <c r="D33" t="s">
        <v>32</v>
      </c>
      <c r="E33" s="1">
        <v>43604</v>
      </c>
      <c r="F33" s="2">
        <f ca="1">DATEDIF(EmpTable[[#This Row],[Start Date]],TODAY(),"Y")</f>
        <v>7</v>
      </c>
      <c r="G33" t="s">
        <v>93</v>
      </c>
      <c r="H33" t="s">
        <v>48</v>
      </c>
      <c r="I33" t="s">
        <v>36</v>
      </c>
      <c r="J33">
        <v>3151</v>
      </c>
      <c r="K33">
        <v>37812</v>
      </c>
      <c r="L33">
        <v>3</v>
      </c>
      <c r="M33">
        <v>0</v>
      </c>
      <c r="N33">
        <v>5</v>
      </c>
      <c r="O33">
        <v>48</v>
      </c>
    </row>
    <row r="34" spans="1:15" x14ac:dyDescent="0.3">
      <c r="A34">
        <v>33</v>
      </c>
      <c r="B34" t="s">
        <v>33</v>
      </c>
      <c r="C34" t="s">
        <v>94</v>
      </c>
      <c r="D34" t="s">
        <v>32</v>
      </c>
      <c r="E34" s="1">
        <v>42858</v>
      </c>
      <c r="F34" s="2">
        <f ca="1">DATEDIF(EmpTable[[#This Row],[Start Date]],TODAY(),"Y")</f>
        <v>9</v>
      </c>
      <c r="G34" t="s">
        <v>77</v>
      </c>
      <c r="H34" t="s">
        <v>18</v>
      </c>
      <c r="I34" t="s">
        <v>36</v>
      </c>
      <c r="J34">
        <v>1551</v>
      </c>
      <c r="K34">
        <v>18612</v>
      </c>
      <c r="L34">
        <v>1</v>
      </c>
      <c r="M34">
        <v>0</v>
      </c>
      <c r="N34">
        <v>0</v>
      </c>
      <c r="O34">
        <v>148</v>
      </c>
    </row>
    <row r="35" spans="1:15" x14ac:dyDescent="0.3">
      <c r="A35">
        <v>34</v>
      </c>
      <c r="B35" t="s">
        <v>95</v>
      </c>
      <c r="C35" t="s">
        <v>96</v>
      </c>
      <c r="D35" t="s">
        <v>32</v>
      </c>
      <c r="E35" s="1">
        <v>42907</v>
      </c>
      <c r="F35" s="2">
        <f ca="1">DATEDIF(EmpTable[[#This Row],[Start Date]],TODAY(),"Y")</f>
        <v>9</v>
      </c>
      <c r="G35" t="s">
        <v>35</v>
      </c>
      <c r="H35" t="s">
        <v>29</v>
      </c>
      <c r="I35" t="s">
        <v>60</v>
      </c>
      <c r="J35">
        <v>2099</v>
      </c>
      <c r="K35">
        <v>25188</v>
      </c>
      <c r="L35">
        <v>1</v>
      </c>
      <c r="M35">
        <v>0</v>
      </c>
      <c r="N35">
        <v>0</v>
      </c>
      <c r="O35">
        <v>5</v>
      </c>
    </row>
    <row r="36" spans="1:15" x14ac:dyDescent="0.3">
      <c r="A36">
        <v>35</v>
      </c>
      <c r="B36" t="s">
        <v>30</v>
      </c>
      <c r="C36" t="s">
        <v>97</v>
      </c>
      <c r="D36" t="s">
        <v>32</v>
      </c>
      <c r="E36" s="1">
        <v>42767</v>
      </c>
      <c r="F36" s="2">
        <f ca="1">DATEDIF(EmpTable[[#This Row],[Start Date]],TODAY(),"Y")</f>
        <v>9</v>
      </c>
      <c r="G36" t="s">
        <v>39</v>
      </c>
      <c r="H36" t="s">
        <v>18</v>
      </c>
      <c r="I36" t="s">
        <v>36</v>
      </c>
      <c r="J36">
        <v>808</v>
      </c>
      <c r="K36">
        <v>9696</v>
      </c>
      <c r="L36">
        <v>4.5</v>
      </c>
      <c r="M36">
        <v>1</v>
      </c>
      <c r="N36">
        <v>0</v>
      </c>
      <c r="O36">
        <v>7</v>
      </c>
    </row>
    <row r="37" spans="1:15" x14ac:dyDescent="0.3">
      <c r="A37">
        <v>36</v>
      </c>
      <c r="B37" t="s">
        <v>33</v>
      </c>
      <c r="C37" t="s">
        <v>98</v>
      </c>
      <c r="D37" t="s">
        <v>32</v>
      </c>
      <c r="E37" s="1">
        <v>43731</v>
      </c>
      <c r="F37" s="2">
        <f ca="1">DATEDIF(EmpTable[[#This Row],[Start Date]],TODAY(),"Y")</f>
        <v>6</v>
      </c>
      <c r="G37" t="s">
        <v>28</v>
      </c>
      <c r="H37" t="s">
        <v>22</v>
      </c>
      <c r="I37" t="s">
        <v>42</v>
      </c>
      <c r="J37">
        <v>984</v>
      </c>
      <c r="K37">
        <v>11808</v>
      </c>
      <c r="L37">
        <v>4.5</v>
      </c>
      <c r="M37">
        <v>6</v>
      </c>
      <c r="N37">
        <v>0</v>
      </c>
      <c r="O37">
        <v>37</v>
      </c>
    </row>
    <row r="38" spans="1:15" x14ac:dyDescent="0.3">
      <c r="A38">
        <v>37</v>
      </c>
      <c r="B38" t="s">
        <v>99</v>
      </c>
      <c r="C38" t="s">
        <v>100</v>
      </c>
      <c r="D38" t="s">
        <v>307</v>
      </c>
      <c r="E38" s="1">
        <v>42396</v>
      </c>
      <c r="F38" s="2">
        <f ca="1">DATEDIF(EmpTable[[#This Row],[Start Date]],TODAY(),"Y")</f>
        <v>10</v>
      </c>
      <c r="G38" t="s">
        <v>77</v>
      </c>
      <c r="H38" t="s">
        <v>18</v>
      </c>
      <c r="I38" t="s">
        <v>36</v>
      </c>
      <c r="J38">
        <v>1011</v>
      </c>
      <c r="K38">
        <v>12132</v>
      </c>
      <c r="L38">
        <v>5</v>
      </c>
      <c r="M38">
        <v>0</v>
      </c>
      <c r="N38">
        <v>3</v>
      </c>
      <c r="O38">
        <v>5</v>
      </c>
    </row>
    <row r="39" spans="1:15" x14ac:dyDescent="0.3">
      <c r="A39">
        <v>38</v>
      </c>
      <c r="B39" t="s">
        <v>101</v>
      </c>
      <c r="C39" t="s">
        <v>102</v>
      </c>
      <c r="D39" t="s">
        <v>307</v>
      </c>
      <c r="E39" s="1">
        <v>44164</v>
      </c>
      <c r="F39" s="2">
        <f ca="1">DATEDIF(EmpTable[[#This Row],[Start Date]],TODAY(),"Y")</f>
        <v>5</v>
      </c>
      <c r="G39" t="s">
        <v>17</v>
      </c>
      <c r="H39" t="s">
        <v>29</v>
      </c>
      <c r="I39" t="s">
        <v>19</v>
      </c>
      <c r="J39">
        <v>2026</v>
      </c>
      <c r="K39">
        <v>24312</v>
      </c>
      <c r="L39">
        <v>5</v>
      </c>
      <c r="M39">
        <v>1</v>
      </c>
      <c r="N39">
        <v>0</v>
      </c>
      <c r="O39">
        <v>3</v>
      </c>
    </row>
    <row r="40" spans="1:15" x14ac:dyDescent="0.3">
      <c r="A40">
        <v>39</v>
      </c>
      <c r="B40" t="s">
        <v>103</v>
      </c>
      <c r="C40" t="s">
        <v>104</v>
      </c>
      <c r="D40" t="s">
        <v>32</v>
      </c>
      <c r="E40" s="1">
        <v>43268</v>
      </c>
      <c r="F40" s="2">
        <f ca="1">DATEDIF(EmpTable[[#This Row],[Start Date]],TODAY(),"Y")</f>
        <v>8</v>
      </c>
      <c r="G40" t="s">
        <v>17</v>
      </c>
      <c r="H40" t="s">
        <v>18</v>
      </c>
      <c r="I40" t="s">
        <v>42</v>
      </c>
      <c r="J40">
        <v>2801</v>
      </c>
      <c r="K40">
        <v>33612</v>
      </c>
      <c r="L40">
        <v>3</v>
      </c>
      <c r="M40">
        <v>0</v>
      </c>
      <c r="N40">
        <v>0</v>
      </c>
      <c r="O40">
        <v>9</v>
      </c>
    </row>
    <row r="41" spans="1:15" x14ac:dyDescent="0.3">
      <c r="A41">
        <v>40</v>
      </c>
      <c r="B41" t="s">
        <v>105</v>
      </c>
      <c r="C41" t="s">
        <v>106</v>
      </c>
      <c r="D41" t="s">
        <v>32</v>
      </c>
      <c r="E41" s="1">
        <v>43722</v>
      </c>
      <c r="F41" s="2">
        <f ca="1">DATEDIF(EmpTable[[#This Row],[Start Date]],TODAY(),"Y")</f>
        <v>6</v>
      </c>
      <c r="G41" t="s">
        <v>58</v>
      </c>
      <c r="H41" t="s">
        <v>29</v>
      </c>
      <c r="I41" t="s">
        <v>42</v>
      </c>
      <c r="J41">
        <v>3208</v>
      </c>
      <c r="K41">
        <v>38496</v>
      </c>
      <c r="L41">
        <v>3</v>
      </c>
      <c r="M41">
        <v>0</v>
      </c>
      <c r="N41">
        <v>0</v>
      </c>
      <c r="O41">
        <v>0</v>
      </c>
    </row>
    <row r="42" spans="1:15" x14ac:dyDescent="0.3">
      <c r="A42">
        <v>41</v>
      </c>
      <c r="B42" t="s">
        <v>67</v>
      </c>
      <c r="C42" t="s">
        <v>107</v>
      </c>
      <c r="D42" t="s">
        <v>32</v>
      </c>
      <c r="E42" s="1">
        <v>43581</v>
      </c>
      <c r="F42" s="2">
        <f ca="1">DATEDIF(EmpTable[[#This Row],[Start Date]],TODAY(),"Y")</f>
        <v>7</v>
      </c>
      <c r="G42" t="s">
        <v>28</v>
      </c>
      <c r="H42" t="s">
        <v>22</v>
      </c>
      <c r="I42" t="s">
        <v>60</v>
      </c>
      <c r="J42">
        <v>2129</v>
      </c>
      <c r="K42">
        <v>25548</v>
      </c>
      <c r="L42">
        <v>4.5</v>
      </c>
      <c r="M42">
        <v>0</v>
      </c>
      <c r="N42">
        <v>0</v>
      </c>
      <c r="O42">
        <v>26</v>
      </c>
    </row>
    <row r="43" spans="1:15" x14ac:dyDescent="0.3">
      <c r="A43">
        <v>42</v>
      </c>
      <c r="B43" t="s">
        <v>108</v>
      </c>
      <c r="C43" t="s">
        <v>109</v>
      </c>
      <c r="D43" t="s">
        <v>32</v>
      </c>
      <c r="E43" s="1">
        <v>44175</v>
      </c>
      <c r="F43" s="2">
        <f ca="1">DATEDIF(EmpTable[[#This Row],[Start Date]],TODAY(),"Y")</f>
        <v>5</v>
      </c>
      <c r="G43" t="s">
        <v>53</v>
      </c>
      <c r="H43" t="s">
        <v>18</v>
      </c>
      <c r="I43" t="s">
        <v>36</v>
      </c>
      <c r="J43">
        <v>3344</v>
      </c>
      <c r="K43">
        <v>40128</v>
      </c>
      <c r="L43">
        <v>5</v>
      </c>
      <c r="M43">
        <v>0</v>
      </c>
      <c r="N43">
        <v>0</v>
      </c>
      <c r="O43">
        <v>7</v>
      </c>
    </row>
    <row r="44" spans="1:15" x14ac:dyDescent="0.3">
      <c r="A44">
        <v>43</v>
      </c>
      <c r="B44" t="s">
        <v>66</v>
      </c>
      <c r="C44" t="s">
        <v>110</v>
      </c>
      <c r="D44" t="s">
        <v>32</v>
      </c>
      <c r="E44" s="1">
        <v>42916</v>
      </c>
      <c r="F44" s="2">
        <f ca="1">DATEDIF(EmpTable[[#This Row],[Start Date]],TODAY(),"Y")</f>
        <v>9</v>
      </c>
      <c r="G44" t="s">
        <v>41</v>
      </c>
      <c r="H44" t="s">
        <v>29</v>
      </c>
      <c r="I44" t="s">
        <v>42</v>
      </c>
      <c r="J44">
        <v>2836</v>
      </c>
      <c r="K44">
        <v>34032</v>
      </c>
      <c r="L44">
        <v>5</v>
      </c>
      <c r="M44">
        <v>0</v>
      </c>
      <c r="N44">
        <v>0</v>
      </c>
      <c r="O44">
        <v>14</v>
      </c>
    </row>
    <row r="45" spans="1:15" x14ac:dyDescent="0.3">
      <c r="A45">
        <v>44</v>
      </c>
      <c r="B45" t="s">
        <v>111</v>
      </c>
      <c r="C45" t="s">
        <v>112</v>
      </c>
      <c r="D45" t="s">
        <v>32</v>
      </c>
      <c r="E45" s="1">
        <v>43954</v>
      </c>
      <c r="F45" s="2">
        <f ca="1">DATEDIF(EmpTable[[#This Row],[Start Date]],TODAY(),"Y")</f>
        <v>6</v>
      </c>
      <c r="G45" t="s">
        <v>17</v>
      </c>
      <c r="H45" t="s">
        <v>22</v>
      </c>
      <c r="I45" t="s">
        <v>42</v>
      </c>
      <c r="J45">
        <v>1960</v>
      </c>
      <c r="K45">
        <v>23520</v>
      </c>
      <c r="L45">
        <v>3</v>
      </c>
      <c r="M45">
        <v>0</v>
      </c>
      <c r="N45">
        <v>0</v>
      </c>
      <c r="O45">
        <v>9</v>
      </c>
    </row>
    <row r="46" spans="1:15" x14ac:dyDescent="0.3">
      <c r="A46">
        <v>45</v>
      </c>
      <c r="B46" t="s">
        <v>30</v>
      </c>
      <c r="C46" t="s">
        <v>113</v>
      </c>
      <c r="D46" t="s">
        <v>32</v>
      </c>
      <c r="E46" s="1">
        <v>42701</v>
      </c>
      <c r="F46" s="2">
        <f ca="1">DATEDIF(EmpTable[[#This Row],[Start Date]],TODAY(),"Y")</f>
        <v>9</v>
      </c>
      <c r="G46" t="s">
        <v>53</v>
      </c>
      <c r="H46" t="s">
        <v>18</v>
      </c>
      <c r="I46" t="s">
        <v>42</v>
      </c>
      <c r="J46">
        <v>1478</v>
      </c>
      <c r="K46">
        <v>17736</v>
      </c>
      <c r="L46">
        <v>4.5</v>
      </c>
      <c r="M46">
        <v>5</v>
      </c>
      <c r="N46">
        <v>6</v>
      </c>
      <c r="O46">
        <v>7</v>
      </c>
    </row>
    <row r="47" spans="1:15" x14ac:dyDescent="0.3">
      <c r="A47">
        <v>46</v>
      </c>
      <c r="B47" t="s">
        <v>114</v>
      </c>
      <c r="C47" t="s">
        <v>115</v>
      </c>
      <c r="D47" t="s">
        <v>307</v>
      </c>
      <c r="E47" s="1">
        <v>43817</v>
      </c>
      <c r="F47" s="2">
        <f ca="1">DATEDIF(EmpTable[[#This Row],[Start Date]],TODAY(),"Y")</f>
        <v>6</v>
      </c>
      <c r="G47" t="s">
        <v>58</v>
      </c>
      <c r="H47" t="s">
        <v>29</v>
      </c>
      <c r="I47" t="s">
        <v>36</v>
      </c>
      <c r="J47">
        <v>1981</v>
      </c>
      <c r="K47">
        <v>23772</v>
      </c>
      <c r="L47">
        <v>2</v>
      </c>
      <c r="M47">
        <v>0</v>
      </c>
      <c r="N47">
        <v>0</v>
      </c>
      <c r="O47">
        <v>3</v>
      </c>
    </row>
    <row r="48" spans="1:15" x14ac:dyDescent="0.3">
      <c r="A48">
        <v>47</v>
      </c>
      <c r="B48" t="s">
        <v>116</v>
      </c>
      <c r="C48" t="s">
        <v>117</v>
      </c>
      <c r="D48" t="s">
        <v>32</v>
      </c>
      <c r="E48" s="1">
        <v>43572</v>
      </c>
      <c r="F48" s="2">
        <f ca="1">DATEDIF(EmpTable[[#This Row],[Start Date]],TODAY(),"Y")</f>
        <v>7</v>
      </c>
      <c r="G48" t="s">
        <v>118</v>
      </c>
      <c r="H48" t="s">
        <v>29</v>
      </c>
      <c r="I48" t="s">
        <v>42</v>
      </c>
      <c r="J48">
        <v>2064</v>
      </c>
      <c r="K48">
        <v>24768</v>
      </c>
      <c r="L48">
        <v>2</v>
      </c>
      <c r="M48">
        <v>0</v>
      </c>
      <c r="N48">
        <v>0</v>
      </c>
      <c r="O48">
        <v>0</v>
      </c>
    </row>
    <row r="49" spans="1:15" x14ac:dyDescent="0.3">
      <c r="A49">
        <v>48</v>
      </c>
      <c r="B49" t="s">
        <v>119</v>
      </c>
      <c r="C49" t="s">
        <v>120</v>
      </c>
      <c r="D49" t="s">
        <v>307</v>
      </c>
      <c r="E49" s="1">
        <v>42438</v>
      </c>
      <c r="F49" s="2">
        <f ca="1">DATEDIF(EmpTable[[#This Row],[Start Date]],TODAY(),"Y")</f>
        <v>10</v>
      </c>
      <c r="G49" t="s">
        <v>28</v>
      </c>
      <c r="H49" t="s">
        <v>18</v>
      </c>
      <c r="I49" t="s">
        <v>42</v>
      </c>
      <c r="J49">
        <v>1045</v>
      </c>
      <c r="K49">
        <v>12540</v>
      </c>
      <c r="L49">
        <v>5</v>
      </c>
      <c r="M49">
        <v>1</v>
      </c>
      <c r="N49">
        <v>0</v>
      </c>
      <c r="O49">
        <v>3</v>
      </c>
    </row>
    <row r="50" spans="1:15" x14ac:dyDescent="0.3">
      <c r="A50">
        <v>49</v>
      </c>
      <c r="B50" t="s">
        <v>121</v>
      </c>
      <c r="C50" t="s">
        <v>107</v>
      </c>
      <c r="D50" t="s">
        <v>307</v>
      </c>
      <c r="E50" s="1">
        <v>43957</v>
      </c>
      <c r="F50" s="2">
        <f ca="1">DATEDIF(EmpTable[[#This Row],[Start Date]],TODAY(),"Y")</f>
        <v>6</v>
      </c>
      <c r="G50" t="s">
        <v>28</v>
      </c>
      <c r="H50" t="s">
        <v>18</v>
      </c>
      <c r="I50" t="s">
        <v>19</v>
      </c>
      <c r="J50">
        <v>2022</v>
      </c>
      <c r="K50">
        <v>24264</v>
      </c>
      <c r="L50">
        <v>3</v>
      </c>
      <c r="M50">
        <v>0</v>
      </c>
      <c r="N50">
        <v>0</v>
      </c>
      <c r="O50">
        <v>1</v>
      </c>
    </row>
    <row r="51" spans="1:15" x14ac:dyDescent="0.3">
      <c r="A51">
        <v>50</v>
      </c>
      <c r="B51" t="s">
        <v>122</v>
      </c>
      <c r="C51" t="s">
        <v>123</v>
      </c>
      <c r="D51" t="s">
        <v>307</v>
      </c>
      <c r="E51" s="1">
        <v>43759</v>
      </c>
      <c r="F51" s="2">
        <f ca="1">DATEDIF(EmpTable[[#This Row],[Start Date]],TODAY(),"Y")</f>
        <v>6</v>
      </c>
      <c r="G51" t="s">
        <v>77</v>
      </c>
      <c r="H51" t="s">
        <v>18</v>
      </c>
      <c r="I51" t="s">
        <v>36</v>
      </c>
      <c r="J51">
        <v>2383</v>
      </c>
      <c r="K51">
        <v>28596</v>
      </c>
      <c r="L51">
        <v>5</v>
      </c>
      <c r="M51">
        <v>0</v>
      </c>
      <c r="N51">
        <v>4</v>
      </c>
      <c r="O51">
        <v>1</v>
      </c>
    </row>
    <row r="52" spans="1:15" x14ac:dyDescent="0.3">
      <c r="A52">
        <v>51</v>
      </c>
      <c r="B52" t="s">
        <v>124</v>
      </c>
      <c r="C52" t="s">
        <v>33</v>
      </c>
      <c r="D52" t="s">
        <v>32</v>
      </c>
      <c r="E52" s="1">
        <v>43403</v>
      </c>
      <c r="F52" s="2">
        <f ca="1">DATEDIF(EmpTable[[#This Row],[Start Date]],TODAY(),"Y")</f>
        <v>7</v>
      </c>
      <c r="G52" t="s">
        <v>28</v>
      </c>
      <c r="H52" t="s">
        <v>18</v>
      </c>
      <c r="I52" t="s">
        <v>19</v>
      </c>
      <c r="J52">
        <v>1563</v>
      </c>
      <c r="K52">
        <v>18756</v>
      </c>
      <c r="L52">
        <v>3</v>
      </c>
      <c r="M52">
        <v>3</v>
      </c>
      <c r="N52">
        <v>0</v>
      </c>
      <c r="O52">
        <v>1</v>
      </c>
    </row>
    <row r="53" spans="1:15" x14ac:dyDescent="0.3">
      <c r="A53">
        <v>52</v>
      </c>
      <c r="B53" t="s">
        <v>125</v>
      </c>
      <c r="C53" t="s">
        <v>126</v>
      </c>
      <c r="D53" t="s">
        <v>32</v>
      </c>
      <c r="E53" s="1">
        <v>43699</v>
      </c>
      <c r="F53" s="2">
        <f ca="1">DATEDIF(EmpTable[[#This Row],[Start Date]],TODAY(),"Y")</f>
        <v>7</v>
      </c>
      <c r="G53" t="s">
        <v>39</v>
      </c>
      <c r="H53" t="s">
        <v>22</v>
      </c>
      <c r="I53" t="s">
        <v>19</v>
      </c>
      <c r="J53">
        <v>919</v>
      </c>
      <c r="K53">
        <v>11028</v>
      </c>
      <c r="L53">
        <v>2</v>
      </c>
      <c r="M53">
        <v>0</v>
      </c>
      <c r="N53">
        <v>0</v>
      </c>
      <c r="O53">
        <v>10</v>
      </c>
    </row>
    <row r="54" spans="1:15" x14ac:dyDescent="0.3">
      <c r="A54">
        <v>53</v>
      </c>
      <c r="B54" t="s">
        <v>127</v>
      </c>
      <c r="C54" t="s">
        <v>128</v>
      </c>
      <c r="D54" t="s">
        <v>32</v>
      </c>
      <c r="E54" s="1">
        <v>44127</v>
      </c>
      <c r="F54" s="2">
        <f ca="1">DATEDIF(EmpTable[[#This Row],[Start Date]],TODAY(),"Y")</f>
        <v>5</v>
      </c>
      <c r="G54" t="s">
        <v>77</v>
      </c>
      <c r="H54" t="s">
        <v>18</v>
      </c>
      <c r="I54" t="s">
        <v>42</v>
      </c>
      <c r="J54">
        <v>988</v>
      </c>
      <c r="K54">
        <v>11856</v>
      </c>
      <c r="L54">
        <v>5</v>
      </c>
      <c r="M54">
        <v>0</v>
      </c>
      <c r="N54">
        <v>0</v>
      </c>
      <c r="O54">
        <v>5</v>
      </c>
    </row>
    <row r="55" spans="1:15" x14ac:dyDescent="0.3">
      <c r="A55">
        <v>54</v>
      </c>
      <c r="B55" t="s">
        <v>129</v>
      </c>
      <c r="C55" t="s">
        <v>130</v>
      </c>
      <c r="D55" t="s">
        <v>32</v>
      </c>
      <c r="E55" s="1">
        <v>43498</v>
      </c>
      <c r="F55" s="2">
        <f ca="1">DATEDIF(EmpTable[[#This Row],[Start Date]],TODAY(),"Y")</f>
        <v>7</v>
      </c>
      <c r="G55" t="s">
        <v>77</v>
      </c>
      <c r="H55" t="s">
        <v>29</v>
      </c>
      <c r="I55" t="s">
        <v>36</v>
      </c>
      <c r="J55">
        <v>2631</v>
      </c>
      <c r="K55">
        <v>31572</v>
      </c>
      <c r="L55">
        <v>3</v>
      </c>
      <c r="M55">
        <v>3</v>
      </c>
      <c r="N55">
        <v>6</v>
      </c>
      <c r="O55">
        <v>10</v>
      </c>
    </row>
    <row r="56" spans="1:15" x14ac:dyDescent="0.3">
      <c r="A56">
        <v>55</v>
      </c>
      <c r="B56" t="s">
        <v>131</v>
      </c>
      <c r="C56" t="s">
        <v>132</v>
      </c>
      <c r="D56" t="s">
        <v>32</v>
      </c>
      <c r="E56" s="1">
        <v>42629</v>
      </c>
      <c r="F56" s="2">
        <f ca="1">DATEDIF(EmpTable[[#This Row],[Start Date]],TODAY(),"Y")</f>
        <v>9</v>
      </c>
      <c r="G56" t="s">
        <v>17</v>
      </c>
      <c r="H56" t="s">
        <v>18</v>
      </c>
      <c r="I56" t="s">
        <v>36</v>
      </c>
      <c r="J56">
        <v>2368</v>
      </c>
      <c r="K56">
        <v>28416</v>
      </c>
      <c r="L56">
        <v>3</v>
      </c>
      <c r="M56">
        <v>6</v>
      </c>
      <c r="N56">
        <v>0</v>
      </c>
      <c r="O56">
        <v>5</v>
      </c>
    </row>
    <row r="57" spans="1:15" x14ac:dyDescent="0.3">
      <c r="A57">
        <v>56</v>
      </c>
      <c r="B57" t="s">
        <v>133</v>
      </c>
      <c r="C57" t="s">
        <v>134</v>
      </c>
      <c r="D57" t="s">
        <v>32</v>
      </c>
      <c r="E57" s="1">
        <v>43173</v>
      </c>
      <c r="F57" s="2">
        <f ca="1">DATEDIF(EmpTable[[#This Row],[Start Date]],TODAY(),"Y")</f>
        <v>8</v>
      </c>
      <c r="G57" t="s">
        <v>39</v>
      </c>
      <c r="H57" t="s">
        <v>18</v>
      </c>
      <c r="I57" t="s">
        <v>60</v>
      </c>
      <c r="J57">
        <v>2679</v>
      </c>
      <c r="K57">
        <v>32148</v>
      </c>
      <c r="L57">
        <v>3</v>
      </c>
      <c r="M57">
        <v>3</v>
      </c>
      <c r="N57">
        <v>0</v>
      </c>
      <c r="O57">
        <v>85</v>
      </c>
    </row>
    <row r="58" spans="1:15" x14ac:dyDescent="0.3">
      <c r="A58">
        <v>57</v>
      </c>
      <c r="B58" t="s">
        <v>135</v>
      </c>
      <c r="C58" t="s">
        <v>136</v>
      </c>
      <c r="D58" t="s">
        <v>307</v>
      </c>
      <c r="E58" s="1">
        <v>43540</v>
      </c>
      <c r="F58" s="2">
        <f ca="1">DATEDIF(EmpTable[[#This Row],[Start Date]],TODAY(),"Y")</f>
        <v>7</v>
      </c>
      <c r="G58" t="s">
        <v>41</v>
      </c>
      <c r="H58" t="s">
        <v>18</v>
      </c>
      <c r="I58" t="s">
        <v>42</v>
      </c>
      <c r="J58">
        <v>2423</v>
      </c>
      <c r="K58">
        <v>29076</v>
      </c>
      <c r="L58">
        <v>3</v>
      </c>
      <c r="M58">
        <v>5</v>
      </c>
      <c r="N58">
        <v>0</v>
      </c>
      <c r="O58">
        <v>10</v>
      </c>
    </row>
    <row r="59" spans="1:15" x14ac:dyDescent="0.3">
      <c r="A59">
        <v>58</v>
      </c>
      <c r="B59" t="s">
        <v>137</v>
      </c>
      <c r="C59" t="s">
        <v>138</v>
      </c>
      <c r="D59" t="s">
        <v>307</v>
      </c>
      <c r="E59" s="1">
        <v>43849</v>
      </c>
      <c r="F59" s="2">
        <f ca="1">DATEDIF(EmpTable[[#This Row],[Start Date]],TODAY(),"Y")</f>
        <v>6</v>
      </c>
      <c r="G59" t="s">
        <v>77</v>
      </c>
      <c r="H59" t="s">
        <v>18</v>
      </c>
      <c r="I59" t="s">
        <v>19</v>
      </c>
      <c r="J59">
        <v>2115</v>
      </c>
      <c r="K59">
        <v>25380</v>
      </c>
      <c r="L59">
        <v>5</v>
      </c>
      <c r="M59">
        <v>0</v>
      </c>
      <c r="N59">
        <v>0</v>
      </c>
      <c r="O59">
        <v>0</v>
      </c>
    </row>
    <row r="60" spans="1:15" x14ac:dyDescent="0.3">
      <c r="A60">
        <v>59</v>
      </c>
      <c r="B60" t="s">
        <v>139</v>
      </c>
      <c r="C60" t="s">
        <v>140</v>
      </c>
      <c r="D60" t="s">
        <v>307</v>
      </c>
      <c r="E60" s="1">
        <v>43576</v>
      </c>
      <c r="F60" s="2">
        <f ca="1">DATEDIF(EmpTable[[#This Row],[Start Date]],TODAY(),"Y")</f>
        <v>7</v>
      </c>
      <c r="G60" t="s">
        <v>35</v>
      </c>
      <c r="H60" t="s">
        <v>29</v>
      </c>
      <c r="I60" t="s">
        <v>36</v>
      </c>
      <c r="J60">
        <v>2969</v>
      </c>
      <c r="K60">
        <v>35628</v>
      </c>
      <c r="L60">
        <v>1</v>
      </c>
      <c r="M60">
        <v>0</v>
      </c>
      <c r="N60">
        <v>0</v>
      </c>
      <c r="O60">
        <v>11</v>
      </c>
    </row>
    <row r="61" spans="1:15" x14ac:dyDescent="0.3">
      <c r="A61">
        <v>60</v>
      </c>
      <c r="B61" t="s">
        <v>33</v>
      </c>
      <c r="C61" t="s">
        <v>141</v>
      </c>
      <c r="D61" t="s">
        <v>32</v>
      </c>
      <c r="E61" s="1">
        <v>43665</v>
      </c>
      <c r="F61" s="2">
        <f ca="1">DATEDIF(EmpTable[[#This Row],[Start Date]],TODAY(),"Y")</f>
        <v>7</v>
      </c>
      <c r="G61" t="s">
        <v>76</v>
      </c>
      <c r="H61" t="s">
        <v>18</v>
      </c>
      <c r="I61" t="s">
        <v>36</v>
      </c>
      <c r="J61">
        <v>2467</v>
      </c>
      <c r="K61">
        <v>29604</v>
      </c>
      <c r="L61">
        <v>3</v>
      </c>
      <c r="M61">
        <v>0</v>
      </c>
      <c r="N61">
        <v>0</v>
      </c>
      <c r="O61">
        <v>7</v>
      </c>
    </row>
    <row r="62" spans="1:15" x14ac:dyDescent="0.3">
      <c r="A62">
        <v>61</v>
      </c>
      <c r="B62" t="s">
        <v>89</v>
      </c>
      <c r="C62" t="s">
        <v>142</v>
      </c>
      <c r="D62" t="s">
        <v>307</v>
      </c>
      <c r="E62" s="1">
        <v>43582</v>
      </c>
      <c r="F62" s="2">
        <f ca="1">DATEDIF(EmpTable[[#This Row],[Start Date]],TODAY(),"Y")</f>
        <v>7</v>
      </c>
      <c r="G62" t="s">
        <v>53</v>
      </c>
      <c r="H62" t="s">
        <v>18</v>
      </c>
      <c r="I62" t="s">
        <v>42</v>
      </c>
      <c r="J62">
        <v>3244</v>
      </c>
      <c r="K62">
        <v>38928</v>
      </c>
      <c r="L62">
        <v>3</v>
      </c>
      <c r="M62">
        <v>0</v>
      </c>
      <c r="N62">
        <v>0</v>
      </c>
      <c r="O62">
        <v>10</v>
      </c>
    </row>
    <row r="63" spans="1:15" x14ac:dyDescent="0.3">
      <c r="A63">
        <v>62</v>
      </c>
      <c r="B63" t="s">
        <v>33</v>
      </c>
      <c r="C63" t="s">
        <v>143</v>
      </c>
      <c r="D63" t="s">
        <v>32</v>
      </c>
      <c r="E63" s="1">
        <v>43439</v>
      </c>
      <c r="F63" s="2">
        <f ca="1">DATEDIF(EmpTable[[#This Row],[Start Date]],TODAY(),"Y")</f>
        <v>7</v>
      </c>
      <c r="G63" t="s">
        <v>144</v>
      </c>
      <c r="H63" t="s">
        <v>18</v>
      </c>
      <c r="I63" t="s">
        <v>42</v>
      </c>
      <c r="J63">
        <v>2132</v>
      </c>
      <c r="K63">
        <v>25584</v>
      </c>
      <c r="L63">
        <v>3</v>
      </c>
      <c r="M63">
        <v>5</v>
      </c>
      <c r="N63">
        <v>0</v>
      </c>
      <c r="O63">
        <v>2</v>
      </c>
    </row>
    <row r="64" spans="1:15" x14ac:dyDescent="0.3">
      <c r="A64">
        <v>63</v>
      </c>
      <c r="B64" t="s">
        <v>33</v>
      </c>
      <c r="C64" t="s">
        <v>145</v>
      </c>
      <c r="D64" t="s">
        <v>32</v>
      </c>
      <c r="E64" s="1">
        <v>42819</v>
      </c>
      <c r="F64" s="2">
        <f ca="1">DATEDIF(EmpTable[[#This Row],[Start Date]],TODAY(),"Y")</f>
        <v>9</v>
      </c>
      <c r="G64" t="s">
        <v>28</v>
      </c>
      <c r="H64" t="s">
        <v>29</v>
      </c>
      <c r="I64" t="s">
        <v>36</v>
      </c>
      <c r="J64">
        <v>994</v>
      </c>
      <c r="K64">
        <v>11928</v>
      </c>
      <c r="L64">
        <v>3</v>
      </c>
      <c r="M64">
        <v>6</v>
      </c>
      <c r="N64">
        <v>4</v>
      </c>
      <c r="O64">
        <v>0</v>
      </c>
    </row>
    <row r="65" spans="1:15" x14ac:dyDescent="0.3">
      <c r="A65">
        <v>64</v>
      </c>
      <c r="B65" t="s">
        <v>30</v>
      </c>
      <c r="C65" t="s">
        <v>120</v>
      </c>
      <c r="D65" t="s">
        <v>32</v>
      </c>
      <c r="E65" s="1">
        <v>42389</v>
      </c>
      <c r="F65" s="2">
        <f ca="1">DATEDIF(EmpTable[[#This Row],[Start Date]],TODAY(),"Y")</f>
        <v>10</v>
      </c>
      <c r="G65" t="s">
        <v>50</v>
      </c>
      <c r="H65" t="s">
        <v>18</v>
      </c>
      <c r="I65" t="s">
        <v>36</v>
      </c>
      <c r="J65">
        <v>2304</v>
      </c>
      <c r="K65">
        <v>27648</v>
      </c>
      <c r="L65">
        <v>5</v>
      </c>
      <c r="M65">
        <v>5</v>
      </c>
      <c r="N65">
        <v>0</v>
      </c>
      <c r="O65">
        <v>2</v>
      </c>
    </row>
    <row r="66" spans="1:15" x14ac:dyDescent="0.3">
      <c r="A66">
        <v>65</v>
      </c>
      <c r="B66" t="s">
        <v>146</v>
      </c>
      <c r="C66" t="s">
        <v>147</v>
      </c>
      <c r="D66" t="s">
        <v>32</v>
      </c>
      <c r="E66" s="1">
        <v>43280</v>
      </c>
      <c r="F66" s="2">
        <f ca="1">DATEDIF(EmpTable[[#This Row],[Start Date]],TODAY(),"Y")</f>
        <v>8</v>
      </c>
      <c r="G66" t="s">
        <v>77</v>
      </c>
      <c r="H66" t="s">
        <v>18</v>
      </c>
      <c r="I66" t="s">
        <v>42</v>
      </c>
      <c r="J66">
        <v>1207</v>
      </c>
      <c r="K66">
        <v>14484</v>
      </c>
      <c r="L66">
        <v>2</v>
      </c>
      <c r="M66">
        <v>0</v>
      </c>
      <c r="N66">
        <v>0</v>
      </c>
      <c r="O66">
        <v>50</v>
      </c>
    </row>
    <row r="67" spans="1:15" x14ac:dyDescent="0.3">
      <c r="A67">
        <v>66</v>
      </c>
      <c r="B67" t="s">
        <v>148</v>
      </c>
      <c r="C67" t="s">
        <v>149</v>
      </c>
      <c r="D67" t="s">
        <v>32</v>
      </c>
      <c r="E67" s="1">
        <v>43715</v>
      </c>
      <c r="F67" s="2">
        <f ca="1">DATEDIF(EmpTable[[#This Row],[Start Date]],TODAY(),"Y")</f>
        <v>6</v>
      </c>
      <c r="G67" t="s">
        <v>28</v>
      </c>
      <c r="H67" t="s">
        <v>48</v>
      </c>
      <c r="I67" t="s">
        <v>36</v>
      </c>
      <c r="J67">
        <v>802</v>
      </c>
      <c r="K67">
        <v>9624</v>
      </c>
      <c r="L67">
        <v>4.5</v>
      </c>
      <c r="M67">
        <v>2</v>
      </c>
      <c r="N67">
        <v>0</v>
      </c>
      <c r="O67">
        <v>3</v>
      </c>
    </row>
    <row r="68" spans="1:15" x14ac:dyDescent="0.3">
      <c r="A68">
        <v>67</v>
      </c>
      <c r="B68" t="s">
        <v>33</v>
      </c>
      <c r="C68" t="s">
        <v>150</v>
      </c>
      <c r="D68" t="s">
        <v>32</v>
      </c>
      <c r="E68" s="1">
        <v>43794</v>
      </c>
      <c r="F68" s="2">
        <f ca="1">DATEDIF(EmpTable[[#This Row],[Start Date]],TODAY(),"Y")</f>
        <v>6</v>
      </c>
      <c r="G68" t="s">
        <v>58</v>
      </c>
      <c r="H68" t="s">
        <v>29</v>
      </c>
      <c r="I68" t="s">
        <v>36</v>
      </c>
      <c r="J68">
        <v>2065</v>
      </c>
      <c r="K68">
        <v>24780</v>
      </c>
      <c r="L68">
        <v>3</v>
      </c>
      <c r="M68">
        <v>4</v>
      </c>
      <c r="N68">
        <v>3</v>
      </c>
      <c r="O68">
        <v>4</v>
      </c>
    </row>
    <row r="69" spans="1:15" x14ac:dyDescent="0.3">
      <c r="A69">
        <v>68</v>
      </c>
      <c r="B69" t="s">
        <v>151</v>
      </c>
      <c r="C69" t="s">
        <v>152</v>
      </c>
      <c r="D69" t="s">
        <v>32</v>
      </c>
      <c r="E69" s="1">
        <v>44010</v>
      </c>
      <c r="F69" s="2">
        <f ca="1">DATEDIF(EmpTable[[#This Row],[Start Date]],TODAY(),"Y")</f>
        <v>6</v>
      </c>
      <c r="G69" t="s">
        <v>50</v>
      </c>
      <c r="H69" t="s">
        <v>18</v>
      </c>
      <c r="I69" t="s">
        <v>19</v>
      </c>
      <c r="J69">
        <v>2882</v>
      </c>
      <c r="K69">
        <v>34584</v>
      </c>
      <c r="L69">
        <v>5</v>
      </c>
      <c r="M69">
        <v>0</v>
      </c>
      <c r="N69">
        <v>4</v>
      </c>
      <c r="O69">
        <v>0</v>
      </c>
    </row>
    <row r="70" spans="1:15" x14ac:dyDescent="0.3">
      <c r="A70">
        <v>69</v>
      </c>
      <c r="B70" t="s">
        <v>30</v>
      </c>
      <c r="C70" t="s">
        <v>153</v>
      </c>
      <c r="D70" t="s">
        <v>32</v>
      </c>
      <c r="E70" s="1">
        <v>43268</v>
      </c>
      <c r="F70" s="2">
        <f ca="1">DATEDIF(EmpTable[[#This Row],[Start Date]],TODAY(),"Y")</f>
        <v>8</v>
      </c>
      <c r="G70" t="s">
        <v>41</v>
      </c>
      <c r="H70" t="s">
        <v>18</v>
      </c>
      <c r="I70" t="s">
        <v>36</v>
      </c>
      <c r="J70">
        <v>2042</v>
      </c>
      <c r="K70">
        <v>24504</v>
      </c>
      <c r="L70">
        <v>5</v>
      </c>
      <c r="M70">
        <v>0</v>
      </c>
      <c r="N70">
        <v>3</v>
      </c>
      <c r="O70">
        <v>64</v>
      </c>
    </row>
    <row r="71" spans="1:15" x14ac:dyDescent="0.3">
      <c r="A71">
        <v>70</v>
      </c>
      <c r="B71" t="s">
        <v>154</v>
      </c>
      <c r="C71" t="s">
        <v>155</v>
      </c>
      <c r="D71" t="s">
        <v>32</v>
      </c>
      <c r="E71" s="1">
        <v>43802</v>
      </c>
      <c r="F71" s="2">
        <f ca="1">DATEDIF(EmpTable[[#This Row],[Start Date]],TODAY(),"Y")</f>
        <v>6</v>
      </c>
      <c r="G71" t="s">
        <v>53</v>
      </c>
      <c r="H71" t="s">
        <v>22</v>
      </c>
      <c r="I71" t="s">
        <v>19</v>
      </c>
      <c r="J71">
        <v>2017</v>
      </c>
      <c r="K71">
        <v>24204</v>
      </c>
      <c r="L71">
        <v>3</v>
      </c>
      <c r="M71">
        <v>6</v>
      </c>
      <c r="N71">
        <v>0</v>
      </c>
      <c r="O71">
        <v>8</v>
      </c>
    </row>
    <row r="72" spans="1:15" x14ac:dyDescent="0.3">
      <c r="A72">
        <v>71</v>
      </c>
      <c r="B72" t="s">
        <v>156</v>
      </c>
      <c r="C72" t="s">
        <v>157</v>
      </c>
      <c r="D72" t="s">
        <v>32</v>
      </c>
      <c r="E72" s="1">
        <v>43284</v>
      </c>
      <c r="F72" s="2">
        <f ca="1">DATEDIF(EmpTable[[#This Row],[Start Date]],TODAY(),"Y")</f>
        <v>8</v>
      </c>
      <c r="G72" t="s">
        <v>77</v>
      </c>
      <c r="H72" t="s">
        <v>48</v>
      </c>
      <c r="I72" t="s">
        <v>42</v>
      </c>
      <c r="J72">
        <v>3215</v>
      </c>
      <c r="K72">
        <v>38580</v>
      </c>
      <c r="L72">
        <v>2</v>
      </c>
      <c r="M72">
        <v>5</v>
      </c>
      <c r="N72">
        <v>0</v>
      </c>
      <c r="O72">
        <v>2</v>
      </c>
    </row>
    <row r="73" spans="1:15" x14ac:dyDescent="0.3">
      <c r="A73">
        <v>72</v>
      </c>
      <c r="B73" t="s">
        <v>158</v>
      </c>
      <c r="C73" t="s">
        <v>159</v>
      </c>
      <c r="D73" t="s">
        <v>32</v>
      </c>
      <c r="E73" s="1">
        <v>42691</v>
      </c>
      <c r="F73" s="2">
        <f ca="1">DATEDIF(EmpTable[[#This Row],[Start Date]],TODAY(),"Y")</f>
        <v>9</v>
      </c>
      <c r="G73" t="s">
        <v>28</v>
      </c>
      <c r="H73" t="s">
        <v>29</v>
      </c>
      <c r="I73" t="s">
        <v>36</v>
      </c>
      <c r="J73">
        <v>2957</v>
      </c>
      <c r="K73">
        <v>35484</v>
      </c>
      <c r="L73">
        <v>5</v>
      </c>
      <c r="M73">
        <v>1</v>
      </c>
      <c r="N73">
        <v>0</v>
      </c>
      <c r="O73">
        <v>10</v>
      </c>
    </row>
    <row r="74" spans="1:15" x14ac:dyDescent="0.3">
      <c r="A74">
        <v>73</v>
      </c>
      <c r="B74" t="s">
        <v>160</v>
      </c>
      <c r="C74" t="s">
        <v>87</v>
      </c>
      <c r="D74" t="s">
        <v>307</v>
      </c>
      <c r="E74" s="1">
        <v>43740</v>
      </c>
      <c r="F74" s="2">
        <f ca="1">DATEDIF(EmpTable[[#This Row],[Start Date]],TODAY(),"Y")</f>
        <v>6</v>
      </c>
      <c r="G74" t="s">
        <v>35</v>
      </c>
      <c r="H74" t="s">
        <v>48</v>
      </c>
      <c r="I74" t="s">
        <v>36</v>
      </c>
      <c r="J74">
        <v>891</v>
      </c>
      <c r="K74">
        <v>10692</v>
      </c>
      <c r="L74">
        <v>3</v>
      </c>
      <c r="M74">
        <v>0</v>
      </c>
      <c r="N74">
        <v>2</v>
      </c>
      <c r="O74">
        <v>6</v>
      </c>
    </row>
    <row r="75" spans="1:15" x14ac:dyDescent="0.3">
      <c r="A75">
        <v>74</v>
      </c>
      <c r="B75" t="s">
        <v>161</v>
      </c>
      <c r="C75" t="s">
        <v>162</v>
      </c>
      <c r="D75" t="s">
        <v>32</v>
      </c>
      <c r="E75" s="1">
        <v>43339</v>
      </c>
      <c r="F75" s="2">
        <f ca="1">DATEDIF(EmpTable[[#This Row],[Start Date]],TODAY(),"Y")</f>
        <v>8</v>
      </c>
      <c r="G75" t="s">
        <v>163</v>
      </c>
      <c r="H75" t="s">
        <v>29</v>
      </c>
      <c r="I75" t="s">
        <v>36</v>
      </c>
      <c r="J75">
        <v>1971</v>
      </c>
      <c r="K75">
        <v>23652</v>
      </c>
      <c r="L75">
        <v>4.5</v>
      </c>
      <c r="M75">
        <v>5</v>
      </c>
      <c r="N75">
        <v>1</v>
      </c>
      <c r="O75">
        <v>0</v>
      </c>
    </row>
    <row r="76" spans="1:15" x14ac:dyDescent="0.3">
      <c r="A76">
        <v>75</v>
      </c>
      <c r="B76" t="s">
        <v>116</v>
      </c>
      <c r="C76" t="s">
        <v>164</v>
      </c>
      <c r="D76" t="s">
        <v>32</v>
      </c>
      <c r="E76" s="1">
        <v>44149</v>
      </c>
      <c r="F76" s="2">
        <f ca="1">DATEDIF(EmpTable[[#This Row],[Start Date]],TODAY(),"Y")</f>
        <v>5</v>
      </c>
      <c r="G76" t="s">
        <v>53</v>
      </c>
      <c r="H76" t="s">
        <v>29</v>
      </c>
      <c r="I76" t="s">
        <v>19</v>
      </c>
      <c r="J76">
        <v>2317</v>
      </c>
      <c r="K76">
        <v>27804</v>
      </c>
      <c r="L76">
        <v>3</v>
      </c>
      <c r="M76">
        <v>6</v>
      </c>
      <c r="N76">
        <v>1</v>
      </c>
      <c r="O76">
        <v>10</v>
      </c>
    </row>
    <row r="77" spans="1:15" x14ac:dyDescent="0.3">
      <c r="A77">
        <v>76</v>
      </c>
      <c r="B77" t="s">
        <v>165</v>
      </c>
      <c r="C77" t="s">
        <v>166</v>
      </c>
      <c r="D77" t="s">
        <v>32</v>
      </c>
      <c r="E77" s="1">
        <v>43797</v>
      </c>
      <c r="F77" s="2">
        <f ca="1">DATEDIF(EmpTable[[#This Row],[Start Date]],TODAY(),"Y")</f>
        <v>6</v>
      </c>
      <c r="G77" t="s">
        <v>28</v>
      </c>
      <c r="H77" t="s">
        <v>18</v>
      </c>
      <c r="I77" t="s">
        <v>60</v>
      </c>
      <c r="J77">
        <v>1657</v>
      </c>
      <c r="K77">
        <v>19884</v>
      </c>
      <c r="L77">
        <v>3</v>
      </c>
      <c r="M77">
        <v>0</v>
      </c>
      <c r="N77">
        <v>0</v>
      </c>
      <c r="O77">
        <v>12</v>
      </c>
    </row>
    <row r="78" spans="1:15" x14ac:dyDescent="0.3">
      <c r="A78">
        <v>77</v>
      </c>
      <c r="B78" t="s">
        <v>119</v>
      </c>
      <c r="C78" t="s">
        <v>167</v>
      </c>
      <c r="D78" t="s">
        <v>32</v>
      </c>
      <c r="E78" s="1">
        <v>43210</v>
      </c>
      <c r="F78" s="2">
        <f ca="1">DATEDIF(EmpTable[[#This Row],[Start Date]],TODAY(),"Y")</f>
        <v>8</v>
      </c>
      <c r="G78" t="s">
        <v>28</v>
      </c>
      <c r="H78" t="s">
        <v>18</v>
      </c>
      <c r="I78" t="s">
        <v>19</v>
      </c>
      <c r="J78">
        <v>3053</v>
      </c>
      <c r="K78">
        <v>36636</v>
      </c>
      <c r="L78">
        <v>3</v>
      </c>
      <c r="M78">
        <v>0</v>
      </c>
      <c r="N78">
        <v>3</v>
      </c>
      <c r="O78">
        <v>6</v>
      </c>
    </row>
    <row r="79" spans="1:15" x14ac:dyDescent="0.3">
      <c r="A79">
        <v>78</v>
      </c>
      <c r="B79" t="s">
        <v>168</v>
      </c>
      <c r="C79" t="s">
        <v>169</v>
      </c>
      <c r="D79" t="s">
        <v>32</v>
      </c>
      <c r="E79" s="1">
        <v>43840</v>
      </c>
      <c r="F79" s="2">
        <f ca="1">DATEDIF(EmpTable[[#This Row],[Start Date]],TODAY(),"Y")</f>
        <v>6</v>
      </c>
      <c r="G79" t="s">
        <v>28</v>
      </c>
      <c r="H79" t="s">
        <v>29</v>
      </c>
      <c r="I79" t="s">
        <v>19</v>
      </c>
      <c r="J79">
        <v>1887</v>
      </c>
      <c r="K79">
        <v>22644</v>
      </c>
      <c r="L79">
        <v>1</v>
      </c>
      <c r="M79">
        <v>6</v>
      </c>
      <c r="N79">
        <v>0</v>
      </c>
      <c r="O79">
        <v>4</v>
      </c>
    </row>
    <row r="80" spans="1:15" x14ac:dyDescent="0.3">
      <c r="A80">
        <v>79</v>
      </c>
      <c r="B80" t="s">
        <v>170</v>
      </c>
      <c r="C80" t="s">
        <v>171</v>
      </c>
      <c r="D80" t="s">
        <v>32</v>
      </c>
      <c r="E80" s="1">
        <v>43411</v>
      </c>
      <c r="F80" s="2">
        <f ca="1">DATEDIF(EmpTable[[#This Row],[Start Date]],TODAY(),"Y")</f>
        <v>7</v>
      </c>
      <c r="G80" t="s">
        <v>28</v>
      </c>
      <c r="H80" t="s">
        <v>29</v>
      </c>
      <c r="I80" t="s">
        <v>42</v>
      </c>
      <c r="J80">
        <v>1457</v>
      </c>
      <c r="K80">
        <v>17484</v>
      </c>
      <c r="L80">
        <v>4.5</v>
      </c>
      <c r="M80">
        <v>0</v>
      </c>
      <c r="N80">
        <v>0</v>
      </c>
      <c r="O80">
        <v>9</v>
      </c>
    </row>
    <row r="81" spans="1:15" x14ac:dyDescent="0.3">
      <c r="A81">
        <v>80</v>
      </c>
      <c r="B81" t="s">
        <v>172</v>
      </c>
      <c r="C81" t="s">
        <v>173</v>
      </c>
      <c r="D81" t="s">
        <v>307</v>
      </c>
      <c r="E81" s="1">
        <v>43591</v>
      </c>
      <c r="F81" s="2">
        <f ca="1">DATEDIF(EmpTable[[#This Row],[Start Date]],TODAY(),"Y")</f>
        <v>7</v>
      </c>
      <c r="G81" t="s">
        <v>17</v>
      </c>
      <c r="H81" t="s">
        <v>18</v>
      </c>
      <c r="I81" t="s">
        <v>42</v>
      </c>
      <c r="J81">
        <v>2581</v>
      </c>
      <c r="K81">
        <v>30972</v>
      </c>
      <c r="L81">
        <v>5</v>
      </c>
      <c r="M81">
        <v>0</v>
      </c>
      <c r="N81">
        <v>0</v>
      </c>
      <c r="O81">
        <v>8</v>
      </c>
    </row>
    <row r="82" spans="1:15" x14ac:dyDescent="0.3">
      <c r="A82">
        <v>81</v>
      </c>
      <c r="B82" t="s">
        <v>174</v>
      </c>
      <c r="C82" t="s">
        <v>175</v>
      </c>
      <c r="D82" t="s">
        <v>307</v>
      </c>
      <c r="E82" s="1">
        <v>42609</v>
      </c>
      <c r="F82" s="2">
        <f ca="1">DATEDIF(EmpTable[[#This Row],[Start Date]],TODAY(),"Y")</f>
        <v>10</v>
      </c>
      <c r="G82" t="s">
        <v>50</v>
      </c>
      <c r="H82" t="s">
        <v>29</v>
      </c>
      <c r="I82" t="s">
        <v>36</v>
      </c>
      <c r="J82">
        <v>901</v>
      </c>
      <c r="K82">
        <v>10812</v>
      </c>
      <c r="L82">
        <v>5</v>
      </c>
      <c r="M82">
        <v>0</v>
      </c>
      <c r="N82">
        <v>2</v>
      </c>
      <c r="O82">
        <v>10</v>
      </c>
    </row>
    <row r="83" spans="1:15" x14ac:dyDescent="0.3">
      <c r="A83">
        <v>82</v>
      </c>
      <c r="B83" t="s">
        <v>176</v>
      </c>
      <c r="C83" t="s">
        <v>177</v>
      </c>
      <c r="D83" t="s">
        <v>307</v>
      </c>
      <c r="E83" s="1">
        <v>42544</v>
      </c>
      <c r="F83" s="2">
        <f ca="1">DATEDIF(EmpTable[[#This Row],[Start Date]],TODAY(),"Y")</f>
        <v>10</v>
      </c>
      <c r="G83" t="s">
        <v>41</v>
      </c>
      <c r="H83" t="s">
        <v>29</v>
      </c>
      <c r="I83" t="s">
        <v>42</v>
      </c>
      <c r="J83">
        <v>898</v>
      </c>
      <c r="K83">
        <v>10776</v>
      </c>
      <c r="L83">
        <v>4.5</v>
      </c>
      <c r="M83">
        <v>3</v>
      </c>
      <c r="N83">
        <v>0</v>
      </c>
      <c r="O83">
        <v>11</v>
      </c>
    </row>
    <row r="84" spans="1:15" x14ac:dyDescent="0.3">
      <c r="A84">
        <v>83</v>
      </c>
      <c r="B84" t="s">
        <v>33</v>
      </c>
      <c r="C84" t="s">
        <v>178</v>
      </c>
      <c r="D84" t="s">
        <v>32</v>
      </c>
      <c r="E84" s="1">
        <v>44069</v>
      </c>
      <c r="F84" s="2">
        <f ca="1">DATEDIF(EmpTable[[#This Row],[Start Date]],TODAY(),"Y")</f>
        <v>6</v>
      </c>
      <c r="G84" t="s">
        <v>41</v>
      </c>
      <c r="H84" t="s">
        <v>18</v>
      </c>
      <c r="I84" t="s">
        <v>19</v>
      </c>
      <c r="J84">
        <v>2878</v>
      </c>
      <c r="K84">
        <v>34536</v>
      </c>
      <c r="L84">
        <v>3</v>
      </c>
      <c r="M84">
        <v>0</v>
      </c>
      <c r="N84">
        <v>0</v>
      </c>
      <c r="O84">
        <v>2</v>
      </c>
    </row>
    <row r="85" spans="1:15" x14ac:dyDescent="0.3">
      <c r="A85">
        <v>84</v>
      </c>
      <c r="B85" t="s">
        <v>33</v>
      </c>
      <c r="C85" t="s">
        <v>179</v>
      </c>
      <c r="D85" t="s">
        <v>32</v>
      </c>
      <c r="E85" s="1">
        <v>43116</v>
      </c>
      <c r="F85" s="2">
        <f ca="1">DATEDIF(EmpTable[[#This Row],[Start Date]],TODAY(),"Y")</f>
        <v>8</v>
      </c>
      <c r="G85" t="s">
        <v>93</v>
      </c>
      <c r="H85" t="s">
        <v>18</v>
      </c>
      <c r="I85" t="s">
        <v>42</v>
      </c>
      <c r="J85">
        <v>2539</v>
      </c>
      <c r="K85">
        <v>30468</v>
      </c>
      <c r="L85">
        <v>3</v>
      </c>
      <c r="M85">
        <v>0</v>
      </c>
      <c r="N85">
        <v>0</v>
      </c>
      <c r="O85">
        <v>0</v>
      </c>
    </row>
    <row r="86" spans="1:15" x14ac:dyDescent="0.3">
      <c r="A86">
        <v>85</v>
      </c>
      <c r="B86" t="s">
        <v>180</v>
      </c>
      <c r="C86" t="s">
        <v>181</v>
      </c>
      <c r="D86" t="s">
        <v>32</v>
      </c>
      <c r="E86" s="1">
        <v>43286</v>
      </c>
      <c r="F86" s="2">
        <f ca="1">DATEDIF(EmpTable[[#This Row],[Start Date]],TODAY(),"Y")</f>
        <v>8</v>
      </c>
      <c r="G86" t="s">
        <v>17</v>
      </c>
      <c r="H86" t="s">
        <v>18</v>
      </c>
      <c r="I86" t="s">
        <v>36</v>
      </c>
      <c r="J86">
        <v>2533</v>
      </c>
      <c r="K86">
        <v>30396</v>
      </c>
      <c r="L86">
        <v>5</v>
      </c>
      <c r="M86">
        <v>0</v>
      </c>
      <c r="N86">
        <v>0</v>
      </c>
      <c r="O86">
        <v>2</v>
      </c>
    </row>
    <row r="87" spans="1:15" x14ac:dyDescent="0.3">
      <c r="A87">
        <v>86</v>
      </c>
      <c r="B87" t="s">
        <v>182</v>
      </c>
      <c r="C87" t="s">
        <v>183</v>
      </c>
      <c r="D87" t="s">
        <v>307</v>
      </c>
      <c r="E87" s="1">
        <v>43481</v>
      </c>
      <c r="F87" s="2">
        <f ca="1">DATEDIF(EmpTable[[#This Row],[Start Date]],TODAY(),"Y")</f>
        <v>7</v>
      </c>
      <c r="G87" t="s">
        <v>76</v>
      </c>
      <c r="H87" t="s">
        <v>18</v>
      </c>
      <c r="I87" t="s">
        <v>19</v>
      </c>
      <c r="J87">
        <v>885</v>
      </c>
      <c r="K87">
        <v>10620</v>
      </c>
      <c r="L87">
        <v>3</v>
      </c>
      <c r="M87">
        <v>0</v>
      </c>
      <c r="N87">
        <v>0</v>
      </c>
      <c r="O87">
        <v>3</v>
      </c>
    </row>
    <row r="88" spans="1:15" x14ac:dyDescent="0.3">
      <c r="A88">
        <v>87</v>
      </c>
      <c r="B88" t="s">
        <v>33</v>
      </c>
      <c r="C88" t="s">
        <v>179</v>
      </c>
      <c r="D88" t="s">
        <v>32</v>
      </c>
      <c r="E88" s="1">
        <v>43635</v>
      </c>
      <c r="F88" s="2">
        <f ca="1">DATEDIF(EmpTable[[#This Row],[Start Date]],TODAY(),"Y")</f>
        <v>7</v>
      </c>
      <c r="G88" t="s">
        <v>53</v>
      </c>
      <c r="H88" t="s">
        <v>29</v>
      </c>
      <c r="I88" t="s">
        <v>19</v>
      </c>
      <c r="J88">
        <v>1166</v>
      </c>
      <c r="K88">
        <v>13992</v>
      </c>
      <c r="L88">
        <v>5</v>
      </c>
      <c r="M88">
        <v>0</v>
      </c>
      <c r="N88">
        <v>4</v>
      </c>
      <c r="O88">
        <v>5</v>
      </c>
    </row>
    <row r="89" spans="1:15" x14ac:dyDescent="0.3">
      <c r="A89">
        <v>88</v>
      </c>
      <c r="B89" t="s">
        <v>184</v>
      </c>
      <c r="C89" t="s">
        <v>185</v>
      </c>
      <c r="D89" t="s">
        <v>307</v>
      </c>
      <c r="E89" s="1">
        <v>43009</v>
      </c>
      <c r="F89" s="2">
        <f ca="1">DATEDIF(EmpTable[[#This Row],[Start Date]],TODAY(),"Y")</f>
        <v>8</v>
      </c>
      <c r="G89" t="s">
        <v>41</v>
      </c>
      <c r="H89" t="s">
        <v>29</v>
      </c>
      <c r="I89" t="s">
        <v>19</v>
      </c>
      <c r="J89">
        <v>2022</v>
      </c>
      <c r="K89">
        <v>24264</v>
      </c>
      <c r="L89">
        <v>5</v>
      </c>
      <c r="M89">
        <v>0</v>
      </c>
      <c r="N89">
        <v>0</v>
      </c>
      <c r="O89">
        <v>3</v>
      </c>
    </row>
    <row r="90" spans="1:15" x14ac:dyDescent="0.3">
      <c r="A90">
        <v>89</v>
      </c>
      <c r="B90" t="s">
        <v>186</v>
      </c>
      <c r="C90" t="s">
        <v>187</v>
      </c>
      <c r="D90" t="s">
        <v>32</v>
      </c>
      <c r="E90" s="1">
        <v>43856</v>
      </c>
      <c r="F90" s="2">
        <f ca="1">DATEDIF(EmpTable[[#This Row],[Start Date]],TODAY(),"Y")</f>
        <v>6</v>
      </c>
      <c r="G90" t="s">
        <v>76</v>
      </c>
      <c r="H90" t="s">
        <v>18</v>
      </c>
      <c r="I90" t="s">
        <v>42</v>
      </c>
      <c r="J90">
        <v>1752</v>
      </c>
      <c r="K90">
        <v>21024</v>
      </c>
      <c r="L90">
        <v>2</v>
      </c>
      <c r="M90">
        <v>5</v>
      </c>
      <c r="N90">
        <v>4</v>
      </c>
      <c r="O90">
        <v>76</v>
      </c>
    </row>
    <row r="91" spans="1:15" x14ac:dyDescent="0.3">
      <c r="A91">
        <v>90</v>
      </c>
      <c r="B91" t="s">
        <v>188</v>
      </c>
      <c r="C91" t="s">
        <v>189</v>
      </c>
      <c r="D91" t="s">
        <v>307</v>
      </c>
      <c r="E91" s="1">
        <v>43666</v>
      </c>
      <c r="F91" s="2">
        <f ca="1">DATEDIF(EmpTable[[#This Row],[Start Date]],TODAY(),"Y")</f>
        <v>7</v>
      </c>
      <c r="G91" t="s">
        <v>50</v>
      </c>
      <c r="H91" t="s">
        <v>18</v>
      </c>
      <c r="I91" t="s">
        <v>42</v>
      </c>
      <c r="J91">
        <v>3157</v>
      </c>
      <c r="K91">
        <v>37884</v>
      </c>
      <c r="L91">
        <v>1</v>
      </c>
      <c r="M91">
        <v>6</v>
      </c>
      <c r="N91">
        <v>1</v>
      </c>
      <c r="O91">
        <v>4</v>
      </c>
    </row>
    <row r="92" spans="1:15" x14ac:dyDescent="0.3">
      <c r="A92">
        <v>91</v>
      </c>
      <c r="B92" t="s">
        <v>127</v>
      </c>
      <c r="C92" t="s">
        <v>190</v>
      </c>
      <c r="D92" t="s">
        <v>32</v>
      </c>
      <c r="E92" s="1">
        <v>44039</v>
      </c>
      <c r="F92" s="2">
        <f ca="1">DATEDIF(EmpTable[[#This Row],[Start Date]],TODAY(),"Y")</f>
        <v>6</v>
      </c>
      <c r="G92" t="s">
        <v>17</v>
      </c>
      <c r="H92" t="s">
        <v>18</v>
      </c>
      <c r="I92" t="s">
        <v>42</v>
      </c>
      <c r="J92">
        <v>3211</v>
      </c>
      <c r="K92">
        <v>38532</v>
      </c>
      <c r="L92">
        <v>5</v>
      </c>
      <c r="M92">
        <v>6</v>
      </c>
      <c r="N92">
        <v>1</v>
      </c>
      <c r="O92">
        <v>9</v>
      </c>
    </row>
    <row r="93" spans="1:15" x14ac:dyDescent="0.3">
      <c r="A93">
        <v>92</v>
      </c>
      <c r="B93" t="s">
        <v>191</v>
      </c>
      <c r="C93" t="s">
        <v>145</v>
      </c>
      <c r="D93" t="s">
        <v>307</v>
      </c>
      <c r="E93" s="1">
        <v>43384</v>
      </c>
      <c r="F93" s="2">
        <f ca="1">DATEDIF(EmpTable[[#This Row],[Start Date]],TODAY(),"Y")</f>
        <v>7</v>
      </c>
      <c r="G93" t="s">
        <v>77</v>
      </c>
      <c r="H93" t="s">
        <v>18</v>
      </c>
      <c r="I93" t="s">
        <v>36</v>
      </c>
      <c r="J93">
        <v>1062</v>
      </c>
      <c r="K93">
        <v>12744</v>
      </c>
      <c r="L93">
        <v>3</v>
      </c>
      <c r="M93">
        <v>1</v>
      </c>
      <c r="N93">
        <v>0</v>
      </c>
      <c r="O93">
        <v>7</v>
      </c>
    </row>
    <row r="94" spans="1:15" x14ac:dyDescent="0.3">
      <c r="A94">
        <v>93</v>
      </c>
      <c r="B94" t="s">
        <v>192</v>
      </c>
      <c r="C94" t="s">
        <v>193</v>
      </c>
      <c r="D94" t="s">
        <v>307</v>
      </c>
      <c r="E94" s="1">
        <v>43657</v>
      </c>
      <c r="F94" s="2">
        <f ca="1">DATEDIF(EmpTable[[#This Row],[Start Date]],TODAY(),"Y")</f>
        <v>7</v>
      </c>
      <c r="G94" t="s">
        <v>53</v>
      </c>
      <c r="H94" t="s">
        <v>18</v>
      </c>
      <c r="I94" t="s">
        <v>42</v>
      </c>
      <c r="J94">
        <v>1406</v>
      </c>
      <c r="K94">
        <v>16872</v>
      </c>
      <c r="L94">
        <v>4.5</v>
      </c>
      <c r="M94">
        <v>4</v>
      </c>
      <c r="N94">
        <v>0</v>
      </c>
      <c r="O94">
        <v>46</v>
      </c>
    </row>
    <row r="95" spans="1:15" x14ac:dyDescent="0.3">
      <c r="A95">
        <v>94</v>
      </c>
      <c r="B95" t="s">
        <v>33</v>
      </c>
      <c r="C95" t="s">
        <v>194</v>
      </c>
      <c r="D95" t="s">
        <v>32</v>
      </c>
      <c r="E95" s="1">
        <v>43694</v>
      </c>
      <c r="F95" s="2">
        <f ca="1">DATEDIF(EmpTable[[#This Row],[Start Date]],TODAY(),"Y")</f>
        <v>7</v>
      </c>
      <c r="G95" t="s">
        <v>93</v>
      </c>
      <c r="H95" t="s">
        <v>29</v>
      </c>
      <c r="I95" t="s">
        <v>19</v>
      </c>
      <c r="J95">
        <v>3084</v>
      </c>
      <c r="K95">
        <v>37008</v>
      </c>
      <c r="L95">
        <v>3</v>
      </c>
      <c r="M95">
        <v>6</v>
      </c>
      <c r="N95">
        <v>0</v>
      </c>
      <c r="O95">
        <v>3</v>
      </c>
    </row>
    <row r="96" spans="1:15" x14ac:dyDescent="0.3">
      <c r="A96">
        <v>95</v>
      </c>
      <c r="B96" t="s">
        <v>195</v>
      </c>
      <c r="C96" t="s">
        <v>196</v>
      </c>
      <c r="D96" t="s">
        <v>32</v>
      </c>
      <c r="E96" s="1">
        <v>44139</v>
      </c>
      <c r="F96" s="2">
        <f ca="1">DATEDIF(EmpTable[[#This Row],[Start Date]],TODAY(),"Y")</f>
        <v>5</v>
      </c>
      <c r="G96" t="s">
        <v>58</v>
      </c>
      <c r="H96" t="s">
        <v>18</v>
      </c>
      <c r="I96" t="s">
        <v>42</v>
      </c>
      <c r="J96">
        <v>1815</v>
      </c>
      <c r="K96">
        <v>21780</v>
      </c>
      <c r="L96">
        <v>4.5</v>
      </c>
      <c r="M96">
        <v>1</v>
      </c>
      <c r="N96">
        <v>0</v>
      </c>
      <c r="O96">
        <v>9</v>
      </c>
    </row>
    <row r="97" spans="1:15" x14ac:dyDescent="0.3">
      <c r="A97">
        <v>96</v>
      </c>
      <c r="B97" t="s">
        <v>33</v>
      </c>
      <c r="C97" t="s">
        <v>64</v>
      </c>
      <c r="D97" t="s">
        <v>32</v>
      </c>
      <c r="E97" s="1">
        <v>42937</v>
      </c>
      <c r="F97" s="2">
        <f ca="1">DATEDIF(EmpTable[[#This Row],[Start Date]],TODAY(),"Y")</f>
        <v>9</v>
      </c>
      <c r="G97" t="s">
        <v>50</v>
      </c>
      <c r="H97" t="s">
        <v>29</v>
      </c>
      <c r="I97" t="s">
        <v>42</v>
      </c>
      <c r="J97">
        <v>1861</v>
      </c>
      <c r="K97">
        <v>22332</v>
      </c>
      <c r="L97">
        <v>3</v>
      </c>
      <c r="M97">
        <v>0</v>
      </c>
      <c r="N97">
        <v>5</v>
      </c>
      <c r="O97">
        <v>9</v>
      </c>
    </row>
    <row r="98" spans="1:15" x14ac:dyDescent="0.3">
      <c r="A98">
        <v>97</v>
      </c>
      <c r="B98" t="s">
        <v>197</v>
      </c>
      <c r="C98" t="s">
        <v>198</v>
      </c>
      <c r="D98" t="s">
        <v>32</v>
      </c>
      <c r="E98" s="1">
        <v>43200</v>
      </c>
      <c r="F98" s="2">
        <f ca="1">DATEDIF(EmpTable[[#This Row],[Start Date]],TODAY(),"Y")</f>
        <v>8</v>
      </c>
      <c r="G98" t="s">
        <v>28</v>
      </c>
      <c r="H98" t="s">
        <v>29</v>
      </c>
      <c r="I98" t="s">
        <v>36</v>
      </c>
      <c r="J98">
        <v>3088</v>
      </c>
      <c r="K98">
        <v>37056</v>
      </c>
      <c r="L98">
        <v>5</v>
      </c>
      <c r="M98">
        <v>3</v>
      </c>
      <c r="N98">
        <v>0</v>
      </c>
      <c r="O98">
        <v>10</v>
      </c>
    </row>
    <row r="99" spans="1:15" x14ac:dyDescent="0.3">
      <c r="A99">
        <v>98</v>
      </c>
      <c r="B99" t="s">
        <v>195</v>
      </c>
      <c r="C99" t="s">
        <v>199</v>
      </c>
      <c r="D99" t="s">
        <v>32</v>
      </c>
      <c r="E99" s="1">
        <v>42858</v>
      </c>
      <c r="F99" s="2">
        <f ca="1">DATEDIF(EmpTable[[#This Row],[Start Date]],TODAY(),"Y")</f>
        <v>9</v>
      </c>
      <c r="G99" t="s">
        <v>200</v>
      </c>
      <c r="H99" t="s">
        <v>48</v>
      </c>
      <c r="I99" t="s">
        <v>42</v>
      </c>
      <c r="J99">
        <v>3071</v>
      </c>
      <c r="K99">
        <v>36852</v>
      </c>
      <c r="L99">
        <v>5</v>
      </c>
      <c r="M99">
        <v>6</v>
      </c>
      <c r="N99">
        <v>0</v>
      </c>
      <c r="O99">
        <v>2</v>
      </c>
    </row>
    <row r="100" spans="1:15" x14ac:dyDescent="0.3">
      <c r="A100">
        <v>99</v>
      </c>
      <c r="B100" t="s">
        <v>170</v>
      </c>
      <c r="C100" t="s">
        <v>126</v>
      </c>
      <c r="D100" t="s">
        <v>32</v>
      </c>
      <c r="E100" s="1">
        <v>43433</v>
      </c>
      <c r="F100" s="2">
        <f ca="1">DATEDIF(EmpTable[[#This Row],[Start Date]],TODAY(),"Y")</f>
        <v>7</v>
      </c>
      <c r="G100" t="s">
        <v>28</v>
      </c>
      <c r="H100" t="s">
        <v>29</v>
      </c>
      <c r="I100" t="s">
        <v>36</v>
      </c>
      <c r="J100">
        <v>3298</v>
      </c>
      <c r="K100">
        <v>39576</v>
      </c>
      <c r="L100">
        <v>3</v>
      </c>
      <c r="M100">
        <v>0</v>
      </c>
      <c r="N100">
        <v>0</v>
      </c>
      <c r="O100">
        <v>9</v>
      </c>
    </row>
    <row r="101" spans="1:15" x14ac:dyDescent="0.3">
      <c r="A101">
        <v>100</v>
      </c>
      <c r="B101" t="s">
        <v>84</v>
      </c>
      <c r="C101" t="s">
        <v>201</v>
      </c>
      <c r="D101" t="s">
        <v>307</v>
      </c>
      <c r="E101" s="1">
        <v>43339</v>
      </c>
      <c r="F101" s="2">
        <f ca="1">DATEDIF(EmpTable[[#This Row],[Start Date]],TODAY(),"Y")</f>
        <v>8</v>
      </c>
      <c r="G101" t="s">
        <v>35</v>
      </c>
      <c r="H101" t="s">
        <v>22</v>
      </c>
      <c r="I101" t="s">
        <v>36</v>
      </c>
      <c r="J101">
        <v>828</v>
      </c>
      <c r="K101">
        <v>9936</v>
      </c>
      <c r="L101">
        <v>5</v>
      </c>
      <c r="M101">
        <v>0</v>
      </c>
      <c r="N101">
        <v>0</v>
      </c>
      <c r="O101">
        <v>10</v>
      </c>
    </row>
    <row r="102" spans="1:15" x14ac:dyDescent="0.3">
      <c r="A102">
        <v>101</v>
      </c>
      <c r="B102" t="s">
        <v>33</v>
      </c>
      <c r="C102" t="s">
        <v>125</v>
      </c>
      <c r="D102" t="s">
        <v>32</v>
      </c>
      <c r="E102" s="1">
        <v>43786</v>
      </c>
      <c r="F102" s="2">
        <f ca="1">DATEDIF(EmpTable[[#This Row],[Start Date]],TODAY(),"Y")</f>
        <v>6</v>
      </c>
      <c r="G102" t="s">
        <v>28</v>
      </c>
      <c r="H102" t="s">
        <v>18</v>
      </c>
      <c r="I102" t="s">
        <v>36</v>
      </c>
      <c r="J102">
        <v>2404</v>
      </c>
      <c r="K102">
        <v>28848</v>
      </c>
      <c r="L102">
        <v>4.5</v>
      </c>
      <c r="M102">
        <v>0</v>
      </c>
      <c r="N102">
        <v>0</v>
      </c>
      <c r="O102">
        <v>99</v>
      </c>
    </row>
    <row r="103" spans="1:15" x14ac:dyDescent="0.3">
      <c r="A103">
        <v>102</v>
      </c>
      <c r="B103" t="s">
        <v>125</v>
      </c>
      <c r="C103" t="s">
        <v>33</v>
      </c>
      <c r="D103" t="s">
        <v>32</v>
      </c>
      <c r="E103" s="1">
        <v>43740</v>
      </c>
      <c r="F103" s="2">
        <f ca="1">DATEDIF(EmpTable[[#This Row],[Start Date]],TODAY(),"Y")</f>
        <v>6</v>
      </c>
      <c r="G103" t="s">
        <v>58</v>
      </c>
      <c r="H103" t="s">
        <v>18</v>
      </c>
      <c r="I103" t="s">
        <v>60</v>
      </c>
      <c r="J103">
        <v>3410</v>
      </c>
      <c r="K103">
        <v>40920</v>
      </c>
      <c r="L103">
        <v>3</v>
      </c>
      <c r="M103">
        <v>2</v>
      </c>
      <c r="N103">
        <v>0</v>
      </c>
      <c r="O103">
        <v>8</v>
      </c>
    </row>
    <row r="104" spans="1:15" x14ac:dyDescent="0.3">
      <c r="A104">
        <v>103</v>
      </c>
      <c r="B104" t="s">
        <v>30</v>
      </c>
      <c r="C104" t="s">
        <v>202</v>
      </c>
      <c r="D104" t="s">
        <v>32</v>
      </c>
      <c r="E104" s="1">
        <v>43793</v>
      </c>
      <c r="F104" s="2">
        <f ca="1">DATEDIF(EmpTable[[#This Row],[Start Date]],TODAY(),"Y")</f>
        <v>6</v>
      </c>
      <c r="G104" t="s">
        <v>35</v>
      </c>
      <c r="H104" t="s">
        <v>29</v>
      </c>
      <c r="I104" t="s">
        <v>42</v>
      </c>
      <c r="J104">
        <v>1817</v>
      </c>
      <c r="K104">
        <v>21804</v>
      </c>
      <c r="L104">
        <v>5</v>
      </c>
      <c r="M104">
        <v>1</v>
      </c>
      <c r="N104">
        <v>0</v>
      </c>
      <c r="O104">
        <v>1</v>
      </c>
    </row>
    <row r="105" spans="1:15" x14ac:dyDescent="0.3">
      <c r="A105">
        <v>104</v>
      </c>
      <c r="B105" t="s">
        <v>86</v>
      </c>
      <c r="C105" t="s">
        <v>203</v>
      </c>
      <c r="D105" t="s">
        <v>32</v>
      </c>
      <c r="E105" s="1">
        <v>43867</v>
      </c>
      <c r="F105" s="2">
        <f ca="1">DATEDIF(EmpTable[[#This Row],[Start Date]],TODAY(),"Y")</f>
        <v>6</v>
      </c>
      <c r="G105" t="s">
        <v>28</v>
      </c>
      <c r="H105" t="s">
        <v>48</v>
      </c>
      <c r="I105" t="s">
        <v>42</v>
      </c>
      <c r="J105">
        <v>2923</v>
      </c>
      <c r="K105">
        <v>35076</v>
      </c>
      <c r="L105">
        <v>2</v>
      </c>
      <c r="M105">
        <v>0</v>
      </c>
      <c r="N105">
        <v>0</v>
      </c>
      <c r="O105">
        <v>0</v>
      </c>
    </row>
    <row r="106" spans="1:15" x14ac:dyDescent="0.3">
      <c r="A106">
        <v>105</v>
      </c>
      <c r="B106" t="s">
        <v>33</v>
      </c>
      <c r="C106" t="s">
        <v>178</v>
      </c>
      <c r="D106" t="s">
        <v>32</v>
      </c>
      <c r="E106" s="1">
        <v>43397</v>
      </c>
      <c r="F106" s="2">
        <f ca="1">DATEDIF(EmpTable[[#This Row],[Start Date]],TODAY(),"Y")</f>
        <v>7</v>
      </c>
      <c r="G106" t="s">
        <v>88</v>
      </c>
      <c r="H106" t="s">
        <v>18</v>
      </c>
      <c r="I106" t="s">
        <v>60</v>
      </c>
      <c r="J106">
        <v>3138</v>
      </c>
      <c r="K106">
        <v>37656</v>
      </c>
      <c r="L106">
        <v>5</v>
      </c>
      <c r="M106">
        <v>6</v>
      </c>
      <c r="N106">
        <v>0</v>
      </c>
      <c r="O106">
        <v>10</v>
      </c>
    </row>
    <row r="107" spans="1:15" x14ac:dyDescent="0.3">
      <c r="A107">
        <v>106</v>
      </c>
      <c r="B107" t="s">
        <v>204</v>
      </c>
      <c r="C107" t="s">
        <v>205</v>
      </c>
      <c r="D107" t="s">
        <v>32</v>
      </c>
      <c r="E107" s="1">
        <v>43979</v>
      </c>
      <c r="F107" s="2">
        <f ca="1">DATEDIF(EmpTable[[#This Row],[Start Date]],TODAY(),"Y")</f>
        <v>6</v>
      </c>
      <c r="G107" t="s">
        <v>41</v>
      </c>
      <c r="H107" t="s">
        <v>18</v>
      </c>
      <c r="I107" t="s">
        <v>36</v>
      </c>
      <c r="J107">
        <v>3139</v>
      </c>
      <c r="K107">
        <v>37668</v>
      </c>
      <c r="L107">
        <v>3</v>
      </c>
      <c r="M107">
        <v>0</v>
      </c>
      <c r="N107">
        <v>0</v>
      </c>
      <c r="O107">
        <v>10</v>
      </c>
    </row>
    <row r="108" spans="1:15" x14ac:dyDescent="0.3">
      <c r="A108">
        <v>107</v>
      </c>
      <c r="B108" t="s">
        <v>146</v>
      </c>
      <c r="C108" t="s">
        <v>155</v>
      </c>
      <c r="D108" t="s">
        <v>32</v>
      </c>
      <c r="E108" s="1">
        <v>42507</v>
      </c>
      <c r="F108" s="2">
        <f ca="1">DATEDIF(EmpTable[[#This Row],[Start Date]],TODAY(),"Y")</f>
        <v>10</v>
      </c>
      <c r="G108" t="s">
        <v>76</v>
      </c>
      <c r="H108" t="s">
        <v>29</v>
      </c>
      <c r="I108" t="s">
        <v>42</v>
      </c>
      <c r="J108">
        <v>3263</v>
      </c>
      <c r="K108">
        <v>39156</v>
      </c>
      <c r="L108">
        <v>3</v>
      </c>
      <c r="M108">
        <v>0</v>
      </c>
      <c r="N108">
        <v>0</v>
      </c>
      <c r="O108">
        <v>3</v>
      </c>
    </row>
    <row r="109" spans="1:15" x14ac:dyDescent="0.3">
      <c r="A109">
        <v>108</v>
      </c>
      <c r="B109" t="s">
        <v>206</v>
      </c>
      <c r="C109" t="s">
        <v>207</v>
      </c>
      <c r="D109" t="s">
        <v>307</v>
      </c>
      <c r="E109" s="1">
        <v>43487</v>
      </c>
      <c r="F109" s="2">
        <f ca="1">DATEDIF(EmpTable[[#This Row],[Start Date]],TODAY(),"Y")</f>
        <v>7</v>
      </c>
      <c r="G109" t="s">
        <v>17</v>
      </c>
      <c r="H109" t="s">
        <v>29</v>
      </c>
      <c r="I109" t="s">
        <v>42</v>
      </c>
      <c r="J109">
        <v>1258</v>
      </c>
      <c r="K109">
        <v>15096</v>
      </c>
      <c r="L109">
        <v>5</v>
      </c>
      <c r="M109">
        <v>0</v>
      </c>
      <c r="N109">
        <v>0</v>
      </c>
      <c r="O109">
        <v>5</v>
      </c>
    </row>
    <row r="110" spans="1:15" x14ac:dyDescent="0.3">
      <c r="A110">
        <v>109</v>
      </c>
      <c r="B110" t="s">
        <v>208</v>
      </c>
      <c r="C110" t="s">
        <v>209</v>
      </c>
      <c r="D110" t="s">
        <v>307</v>
      </c>
      <c r="E110" s="1">
        <v>44085</v>
      </c>
      <c r="F110" s="2">
        <f ca="1">DATEDIF(EmpTable[[#This Row],[Start Date]],TODAY(),"Y")</f>
        <v>5</v>
      </c>
      <c r="G110" t="s">
        <v>58</v>
      </c>
      <c r="H110" t="s">
        <v>18</v>
      </c>
      <c r="I110" t="s">
        <v>36</v>
      </c>
      <c r="J110">
        <v>2527</v>
      </c>
      <c r="K110">
        <v>30324</v>
      </c>
      <c r="L110">
        <v>3</v>
      </c>
      <c r="M110">
        <v>3</v>
      </c>
      <c r="N110">
        <v>0</v>
      </c>
      <c r="O110">
        <v>16</v>
      </c>
    </row>
    <row r="111" spans="1:15" x14ac:dyDescent="0.3">
      <c r="A111">
        <v>110</v>
      </c>
      <c r="B111" t="s">
        <v>210</v>
      </c>
      <c r="C111" t="s">
        <v>211</v>
      </c>
      <c r="D111" t="s">
        <v>307</v>
      </c>
      <c r="E111" s="1">
        <v>43362</v>
      </c>
      <c r="F111" s="2">
        <f ca="1">DATEDIF(EmpTable[[#This Row],[Start Date]],TODAY(),"Y")</f>
        <v>7</v>
      </c>
      <c r="G111" t="s">
        <v>58</v>
      </c>
      <c r="H111" t="s">
        <v>18</v>
      </c>
      <c r="I111" t="s">
        <v>42</v>
      </c>
      <c r="J111">
        <v>3017</v>
      </c>
      <c r="K111">
        <v>36204</v>
      </c>
      <c r="L111">
        <v>4.5</v>
      </c>
      <c r="M111">
        <v>0</v>
      </c>
      <c r="N111">
        <v>4</v>
      </c>
      <c r="O111">
        <v>4</v>
      </c>
    </row>
    <row r="112" spans="1:15" x14ac:dyDescent="0.3">
      <c r="A112">
        <v>111</v>
      </c>
      <c r="B112" t="s">
        <v>212</v>
      </c>
      <c r="C112" t="s">
        <v>213</v>
      </c>
      <c r="D112" t="s">
        <v>307</v>
      </c>
      <c r="E112" s="1">
        <v>42480</v>
      </c>
      <c r="F112" s="2">
        <f ca="1">DATEDIF(EmpTable[[#This Row],[Start Date]],TODAY(),"Y")</f>
        <v>10</v>
      </c>
      <c r="G112" t="s">
        <v>41</v>
      </c>
      <c r="H112" t="s">
        <v>22</v>
      </c>
      <c r="I112" t="s">
        <v>36</v>
      </c>
      <c r="J112">
        <v>1639</v>
      </c>
      <c r="K112">
        <v>19668</v>
      </c>
      <c r="L112">
        <v>5</v>
      </c>
      <c r="M112">
        <v>0</v>
      </c>
      <c r="N112">
        <v>0</v>
      </c>
      <c r="O112">
        <v>2</v>
      </c>
    </row>
    <row r="113" spans="1:15" x14ac:dyDescent="0.3">
      <c r="A113">
        <v>112</v>
      </c>
      <c r="B113" t="s">
        <v>186</v>
      </c>
      <c r="C113" t="s">
        <v>214</v>
      </c>
      <c r="D113" t="s">
        <v>32</v>
      </c>
      <c r="E113" s="1">
        <v>43742</v>
      </c>
      <c r="F113" s="2">
        <f ca="1">DATEDIF(EmpTable[[#This Row],[Start Date]],TODAY(),"Y")</f>
        <v>6</v>
      </c>
      <c r="G113" t="s">
        <v>50</v>
      </c>
      <c r="H113" t="s">
        <v>18</v>
      </c>
      <c r="I113" t="s">
        <v>42</v>
      </c>
      <c r="J113">
        <v>1867</v>
      </c>
      <c r="K113">
        <v>22404</v>
      </c>
      <c r="L113">
        <v>3</v>
      </c>
      <c r="M113">
        <v>1</v>
      </c>
      <c r="N113">
        <v>0</v>
      </c>
      <c r="O113">
        <v>3</v>
      </c>
    </row>
    <row r="114" spans="1:15" x14ac:dyDescent="0.3">
      <c r="A114">
        <v>113</v>
      </c>
      <c r="B114" t="s">
        <v>215</v>
      </c>
      <c r="C114" t="s">
        <v>216</v>
      </c>
      <c r="D114" t="s">
        <v>307</v>
      </c>
      <c r="E114" s="1">
        <v>42659</v>
      </c>
      <c r="F114" s="2">
        <f ca="1">DATEDIF(EmpTable[[#This Row],[Start Date]],TODAY(),"Y")</f>
        <v>9</v>
      </c>
      <c r="G114" t="s">
        <v>77</v>
      </c>
      <c r="H114" t="s">
        <v>29</v>
      </c>
      <c r="I114" t="s">
        <v>42</v>
      </c>
      <c r="J114">
        <v>2314</v>
      </c>
      <c r="K114">
        <v>27768</v>
      </c>
      <c r="L114">
        <v>2</v>
      </c>
      <c r="M114">
        <v>0</v>
      </c>
      <c r="N114">
        <v>3</v>
      </c>
      <c r="O114">
        <v>5</v>
      </c>
    </row>
    <row r="115" spans="1:15" x14ac:dyDescent="0.3">
      <c r="A115">
        <v>114</v>
      </c>
      <c r="B115" t="s">
        <v>217</v>
      </c>
      <c r="C115" t="s">
        <v>218</v>
      </c>
      <c r="D115" t="s">
        <v>307</v>
      </c>
      <c r="E115" s="1">
        <v>42770</v>
      </c>
      <c r="F115" s="2">
        <f ca="1">DATEDIF(EmpTable[[#This Row],[Start Date]],TODAY(),"Y")</f>
        <v>9</v>
      </c>
      <c r="G115" t="s">
        <v>17</v>
      </c>
      <c r="H115" t="s">
        <v>22</v>
      </c>
      <c r="I115" t="s">
        <v>42</v>
      </c>
      <c r="J115">
        <v>2679</v>
      </c>
      <c r="K115">
        <v>32148</v>
      </c>
      <c r="L115">
        <v>5</v>
      </c>
      <c r="M115">
        <v>6</v>
      </c>
      <c r="N115">
        <v>0</v>
      </c>
      <c r="O115">
        <v>1</v>
      </c>
    </row>
    <row r="116" spans="1:15" x14ac:dyDescent="0.3">
      <c r="A116">
        <v>115</v>
      </c>
      <c r="B116" t="s">
        <v>219</v>
      </c>
      <c r="C116" t="s">
        <v>220</v>
      </c>
      <c r="D116" t="s">
        <v>32</v>
      </c>
      <c r="E116" s="1">
        <v>43618</v>
      </c>
      <c r="F116" s="2">
        <f ca="1">DATEDIF(EmpTable[[#This Row],[Start Date]],TODAY(),"Y")</f>
        <v>7</v>
      </c>
      <c r="G116" t="s">
        <v>17</v>
      </c>
      <c r="H116" t="s">
        <v>18</v>
      </c>
      <c r="I116" t="s">
        <v>36</v>
      </c>
      <c r="J116">
        <v>3166</v>
      </c>
      <c r="K116">
        <v>37992</v>
      </c>
      <c r="L116">
        <v>4.5</v>
      </c>
      <c r="M116">
        <v>5</v>
      </c>
      <c r="N116">
        <v>0</v>
      </c>
      <c r="O116">
        <v>4</v>
      </c>
    </row>
    <row r="117" spans="1:15" x14ac:dyDescent="0.3">
      <c r="A117">
        <v>116</v>
      </c>
      <c r="B117" t="s">
        <v>146</v>
      </c>
      <c r="C117" t="s">
        <v>221</v>
      </c>
      <c r="D117" t="s">
        <v>32</v>
      </c>
      <c r="E117" s="1">
        <v>43527</v>
      </c>
      <c r="F117" s="2">
        <f ca="1">DATEDIF(EmpTable[[#This Row],[Start Date]],TODAY(),"Y")</f>
        <v>7</v>
      </c>
      <c r="G117" t="s">
        <v>28</v>
      </c>
      <c r="H117" t="s">
        <v>29</v>
      </c>
      <c r="I117" t="s">
        <v>42</v>
      </c>
      <c r="J117">
        <v>2429</v>
      </c>
      <c r="K117">
        <v>29148</v>
      </c>
      <c r="L117">
        <v>5</v>
      </c>
      <c r="M117">
        <v>0</v>
      </c>
      <c r="N117">
        <v>0</v>
      </c>
      <c r="O117">
        <v>7</v>
      </c>
    </row>
    <row r="118" spans="1:15" x14ac:dyDescent="0.3">
      <c r="A118">
        <v>117</v>
      </c>
      <c r="B118" t="s">
        <v>33</v>
      </c>
      <c r="C118" t="s">
        <v>222</v>
      </c>
      <c r="D118" t="s">
        <v>32</v>
      </c>
      <c r="E118" s="1">
        <v>43744</v>
      </c>
      <c r="F118" s="2">
        <f ca="1">DATEDIF(EmpTable[[#This Row],[Start Date]],TODAY(),"Y")</f>
        <v>6</v>
      </c>
      <c r="G118" t="s">
        <v>28</v>
      </c>
      <c r="H118" t="s">
        <v>29</v>
      </c>
      <c r="I118" t="s">
        <v>42</v>
      </c>
      <c r="J118">
        <v>1865</v>
      </c>
      <c r="K118">
        <v>22380</v>
      </c>
      <c r="L118">
        <v>4.5</v>
      </c>
      <c r="M118">
        <v>0</v>
      </c>
      <c r="N118">
        <v>0</v>
      </c>
      <c r="O118">
        <v>4</v>
      </c>
    </row>
    <row r="119" spans="1:15" x14ac:dyDescent="0.3">
      <c r="A119">
        <v>118</v>
      </c>
      <c r="B119" t="s">
        <v>33</v>
      </c>
      <c r="C119" t="s">
        <v>223</v>
      </c>
      <c r="D119" t="s">
        <v>32</v>
      </c>
      <c r="E119" s="1">
        <v>43146</v>
      </c>
      <c r="F119" s="2">
        <f ca="1">DATEDIF(EmpTable[[#This Row],[Start Date]],TODAY(),"Y")</f>
        <v>8</v>
      </c>
      <c r="G119" t="s">
        <v>41</v>
      </c>
      <c r="H119" t="s">
        <v>29</v>
      </c>
      <c r="I119" t="s">
        <v>60</v>
      </c>
      <c r="J119">
        <v>868</v>
      </c>
      <c r="K119">
        <v>10416</v>
      </c>
      <c r="L119">
        <v>4.5</v>
      </c>
      <c r="M119">
        <v>2</v>
      </c>
      <c r="N119">
        <v>0</v>
      </c>
      <c r="O119">
        <v>2</v>
      </c>
    </row>
    <row r="120" spans="1:15" x14ac:dyDescent="0.3">
      <c r="A120">
        <v>119</v>
      </c>
      <c r="B120" t="s">
        <v>33</v>
      </c>
      <c r="C120" t="s">
        <v>224</v>
      </c>
      <c r="D120" t="s">
        <v>32</v>
      </c>
      <c r="E120" s="1">
        <v>43558</v>
      </c>
      <c r="F120" s="2">
        <f ca="1">DATEDIF(EmpTable[[#This Row],[Start Date]],TODAY(),"Y")</f>
        <v>7</v>
      </c>
      <c r="G120" t="s">
        <v>28</v>
      </c>
      <c r="H120" t="s">
        <v>18</v>
      </c>
      <c r="I120" t="s">
        <v>19</v>
      </c>
      <c r="J120">
        <v>3411</v>
      </c>
      <c r="K120">
        <v>40932</v>
      </c>
      <c r="L120">
        <v>5</v>
      </c>
      <c r="M120">
        <v>4</v>
      </c>
      <c r="N120">
        <v>0</v>
      </c>
      <c r="O120">
        <v>2</v>
      </c>
    </row>
    <row r="121" spans="1:15" x14ac:dyDescent="0.3">
      <c r="A121">
        <v>120</v>
      </c>
      <c r="B121" t="s">
        <v>225</v>
      </c>
      <c r="C121" t="s">
        <v>226</v>
      </c>
      <c r="D121" t="s">
        <v>307</v>
      </c>
      <c r="E121" s="1">
        <v>42687</v>
      </c>
      <c r="F121" s="2">
        <f ca="1">DATEDIF(EmpTable[[#This Row],[Start Date]],TODAY(),"Y")</f>
        <v>9</v>
      </c>
      <c r="G121" t="s">
        <v>58</v>
      </c>
      <c r="H121" t="s">
        <v>48</v>
      </c>
      <c r="I121" t="s">
        <v>36</v>
      </c>
      <c r="J121">
        <v>3324</v>
      </c>
      <c r="K121">
        <v>39888</v>
      </c>
      <c r="L121">
        <v>3</v>
      </c>
      <c r="M121">
        <v>5</v>
      </c>
      <c r="N121">
        <v>0</v>
      </c>
      <c r="O121">
        <v>7</v>
      </c>
    </row>
    <row r="122" spans="1:15" x14ac:dyDescent="0.3">
      <c r="A122">
        <v>121</v>
      </c>
      <c r="B122" t="s">
        <v>227</v>
      </c>
      <c r="C122" t="s">
        <v>228</v>
      </c>
      <c r="D122" t="s">
        <v>32</v>
      </c>
      <c r="E122" s="1">
        <v>43762</v>
      </c>
      <c r="F122" s="2">
        <f ca="1">DATEDIF(EmpTable[[#This Row],[Start Date]],TODAY(),"Y")</f>
        <v>6</v>
      </c>
      <c r="G122" t="s">
        <v>28</v>
      </c>
      <c r="H122" t="s">
        <v>29</v>
      </c>
      <c r="I122" t="s">
        <v>42</v>
      </c>
      <c r="J122">
        <v>2715</v>
      </c>
      <c r="K122">
        <v>32580</v>
      </c>
      <c r="L122">
        <v>1</v>
      </c>
      <c r="M122">
        <v>0</v>
      </c>
      <c r="N122">
        <v>3</v>
      </c>
      <c r="O122">
        <v>3</v>
      </c>
    </row>
    <row r="123" spans="1:15" x14ac:dyDescent="0.3">
      <c r="A123">
        <v>122</v>
      </c>
      <c r="B123" t="s">
        <v>229</v>
      </c>
      <c r="C123" t="s">
        <v>230</v>
      </c>
      <c r="D123" t="s">
        <v>307</v>
      </c>
      <c r="E123" s="1">
        <v>43674</v>
      </c>
      <c r="F123" s="2">
        <f ca="1">DATEDIF(EmpTable[[#This Row],[Start Date]],TODAY(),"Y")</f>
        <v>7</v>
      </c>
      <c r="G123" t="s">
        <v>77</v>
      </c>
      <c r="H123" t="s">
        <v>29</v>
      </c>
      <c r="I123" t="s">
        <v>19</v>
      </c>
      <c r="J123">
        <v>2664</v>
      </c>
      <c r="K123">
        <v>31968</v>
      </c>
      <c r="L123">
        <v>4.5</v>
      </c>
      <c r="M123">
        <v>1</v>
      </c>
      <c r="N123">
        <v>0</v>
      </c>
      <c r="O123">
        <v>9</v>
      </c>
    </row>
    <row r="124" spans="1:15" x14ac:dyDescent="0.3">
      <c r="A124">
        <v>123</v>
      </c>
      <c r="B124" t="s">
        <v>195</v>
      </c>
      <c r="C124" t="s">
        <v>231</v>
      </c>
      <c r="D124" t="s">
        <v>32</v>
      </c>
      <c r="E124" s="1">
        <v>44134</v>
      </c>
      <c r="F124" s="2">
        <f ca="1">DATEDIF(EmpTable[[#This Row],[Start Date]],TODAY(),"Y")</f>
        <v>5</v>
      </c>
      <c r="G124" t="s">
        <v>17</v>
      </c>
      <c r="H124" t="s">
        <v>22</v>
      </c>
      <c r="I124" t="s">
        <v>42</v>
      </c>
      <c r="J124">
        <v>1801</v>
      </c>
      <c r="K124">
        <v>21612</v>
      </c>
      <c r="L124">
        <v>5</v>
      </c>
      <c r="M124">
        <v>0</v>
      </c>
      <c r="N124">
        <v>0</v>
      </c>
      <c r="O124">
        <v>82</v>
      </c>
    </row>
    <row r="125" spans="1:15" x14ac:dyDescent="0.3">
      <c r="A125">
        <v>124</v>
      </c>
      <c r="B125" t="s">
        <v>232</v>
      </c>
      <c r="C125" t="s">
        <v>233</v>
      </c>
      <c r="D125" t="s">
        <v>307</v>
      </c>
      <c r="E125" s="1">
        <v>43125</v>
      </c>
      <c r="F125" s="2">
        <f ca="1">DATEDIF(EmpTable[[#This Row],[Start Date]],TODAY(),"Y")</f>
        <v>8</v>
      </c>
      <c r="G125" t="s">
        <v>28</v>
      </c>
      <c r="H125" t="s">
        <v>29</v>
      </c>
      <c r="I125" t="s">
        <v>42</v>
      </c>
      <c r="J125">
        <v>1452</v>
      </c>
      <c r="K125">
        <v>17424</v>
      </c>
      <c r="L125">
        <v>3</v>
      </c>
      <c r="M125">
        <v>0</v>
      </c>
      <c r="N125">
        <v>0</v>
      </c>
      <c r="O125">
        <v>0</v>
      </c>
    </row>
    <row r="126" spans="1:15" x14ac:dyDescent="0.3">
      <c r="A126">
        <v>125</v>
      </c>
      <c r="B126" t="s">
        <v>234</v>
      </c>
      <c r="C126" t="s">
        <v>235</v>
      </c>
      <c r="D126" t="s">
        <v>32</v>
      </c>
      <c r="E126" s="1">
        <v>42914</v>
      </c>
      <c r="F126" s="2">
        <f ca="1">DATEDIF(EmpTable[[#This Row],[Start Date]],TODAY(),"Y")</f>
        <v>9</v>
      </c>
      <c r="G126" t="s">
        <v>17</v>
      </c>
      <c r="H126" t="s">
        <v>29</v>
      </c>
      <c r="I126" t="s">
        <v>36</v>
      </c>
      <c r="J126">
        <v>2358</v>
      </c>
      <c r="K126">
        <v>28296</v>
      </c>
      <c r="L126">
        <v>3</v>
      </c>
      <c r="M126">
        <v>0</v>
      </c>
      <c r="N126">
        <v>0</v>
      </c>
      <c r="O126">
        <v>14</v>
      </c>
    </row>
    <row r="127" spans="1:15" x14ac:dyDescent="0.3">
      <c r="A127">
        <v>126</v>
      </c>
      <c r="B127" t="s">
        <v>236</v>
      </c>
      <c r="C127" t="s">
        <v>237</v>
      </c>
      <c r="D127" t="s">
        <v>307</v>
      </c>
      <c r="E127" s="1">
        <v>43688</v>
      </c>
      <c r="F127" s="2">
        <f ca="1">DATEDIF(EmpTable[[#This Row],[Start Date]],TODAY(),"Y")</f>
        <v>7</v>
      </c>
      <c r="G127" t="s">
        <v>28</v>
      </c>
      <c r="H127" t="s">
        <v>18</v>
      </c>
      <c r="I127" t="s">
        <v>36</v>
      </c>
      <c r="J127">
        <v>784</v>
      </c>
      <c r="K127">
        <v>9408</v>
      </c>
      <c r="L127">
        <v>3</v>
      </c>
      <c r="M127">
        <v>2</v>
      </c>
      <c r="N127">
        <v>3</v>
      </c>
      <c r="O127">
        <v>9</v>
      </c>
    </row>
    <row r="128" spans="1:15" x14ac:dyDescent="0.3">
      <c r="A128">
        <v>127</v>
      </c>
      <c r="B128" t="s">
        <v>238</v>
      </c>
      <c r="C128" t="s">
        <v>239</v>
      </c>
      <c r="D128" t="s">
        <v>32</v>
      </c>
      <c r="E128" s="1">
        <v>42943</v>
      </c>
      <c r="F128" s="2">
        <f ca="1">DATEDIF(EmpTable[[#This Row],[Start Date]],TODAY(),"Y")</f>
        <v>9</v>
      </c>
      <c r="G128" t="s">
        <v>28</v>
      </c>
      <c r="H128" t="s">
        <v>18</v>
      </c>
      <c r="I128" t="s">
        <v>42</v>
      </c>
      <c r="J128">
        <v>1423</v>
      </c>
      <c r="K128">
        <v>17076</v>
      </c>
      <c r="L128">
        <v>3</v>
      </c>
      <c r="M128">
        <v>0</v>
      </c>
      <c r="N128">
        <v>0</v>
      </c>
      <c r="O128">
        <v>4</v>
      </c>
    </row>
    <row r="129" spans="1:15" x14ac:dyDescent="0.3">
      <c r="A129">
        <v>128</v>
      </c>
      <c r="B129" t="s">
        <v>158</v>
      </c>
      <c r="C129" t="s">
        <v>240</v>
      </c>
      <c r="D129" t="s">
        <v>32</v>
      </c>
      <c r="E129" s="1">
        <v>43309</v>
      </c>
      <c r="F129" s="2">
        <f ca="1">DATEDIF(EmpTable[[#This Row],[Start Date]],TODAY(),"Y")</f>
        <v>8</v>
      </c>
      <c r="G129" t="s">
        <v>200</v>
      </c>
      <c r="H129" t="s">
        <v>29</v>
      </c>
      <c r="I129" t="s">
        <v>42</v>
      </c>
      <c r="J129">
        <v>2174</v>
      </c>
      <c r="K129">
        <v>26088</v>
      </c>
      <c r="L129">
        <v>2</v>
      </c>
      <c r="M129">
        <v>6</v>
      </c>
      <c r="N129">
        <v>0</v>
      </c>
      <c r="O129">
        <v>10</v>
      </c>
    </row>
    <row r="130" spans="1:15" x14ac:dyDescent="0.3">
      <c r="A130">
        <v>129</v>
      </c>
      <c r="B130" t="s">
        <v>241</v>
      </c>
      <c r="C130" t="s">
        <v>242</v>
      </c>
      <c r="D130" t="s">
        <v>32</v>
      </c>
      <c r="E130" s="1">
        <v>44030</v>
      </c>
      <c r="F130" s="2">
        <f ca="1">DATEDIF(EmpTable[[#This Row],[Start Date]],TODAY(),"Y")</f>
        <v>6</v>
      </c>
      <c r="G130" t="s">
        <v>58</v>
      </c>
      <c r="H130" t="s">
        <v>18</v>
      </c>
      <c r="I130" t="s">
        <v>36</v>
      </c>
      <c r="J130">
        <v>2182</v>
      </c>
      <c r="K130">
        <v>26184</v>
      </c>
      <c r="L130">
        <v>4.5</v>
      </c>
      <c r="M130">
        <v>6</v>
      </c>
      <c r="N130">
        <v>0</v>
      </c>
      <c r="O130">
        <v>74</v>
      </c>
    </row>
    <row r="131" spans="1:15" x14ac:dyDescent="0.3">
      <c r="A131">
        <v>130</v>
      </c>
      <c r="B131" t="s">
        <v>243</v>
      </c>
      <c r="C131" t="s">
        <v>244</v>
      </c>
      <c r="D131" t="s">
        <v>307</v>
      </c>
      <c r="E131" s="1">
        <v>43675</v>
      </c>
      <c r="F131" s="2">
        <f ca="1">DATEDIF(EmpTable[[#This Row],[Start Date]],TODAY(),"Y")</f>
        <v>7</v>
      </c>
      <c r="G131" t="s">
        <v>17</v>
      </c>
      <c r="H131" t="s">
        <v>18</v>
      </c>
      <c r="I131" t="s">
        <v>42</v>
      </c>
      <c r="J131">
        <v>2437</v>
      </c>
      <c r="K131">
        <v>29244</v>
      </c>
      <c r="L131">
        <v>3</v>
      </c>
      <c r="M131">
        <v>0</v>
      </c>
      <c r="N131">
        <v>0</v>
      </c>
      <c r="O131">
        <v>2</v>
      </c>
    </row>
    <row r="132" spans="1:15" x14ac:dyDescent="0.3">
      <c r="A132">
        <v>131</v>
      </c>
      <c r="B132" t="s">
        <v>59</v>
      </c>
      <c r="C132" t="s">
        <v>245</v>
      </c>
      <c r="D132" t="s">
        <v>307</v>
      </c>
      <c r="E132" s="1">
        <v>43726</v>
      </c>
      <c r="F132" s="2">
        <f ca="1">DATEDIF(EmpTable[[#This Row],[Start Date]],TODAY(),"Y")</f>
        <v>6</v>
      </c>
      <c r="G132" t="s">
        <v>17</v>
      </c>
      <c r="H132" t="s">
        <v>18</v>
      </c>
      <c r="I132" t="s">
        <v>42</v>
      </c>
      <c r="J132">
        <v>926</v>
      </c>
      <c r="K132">
        <v>11112</v>
      </c>
      <c r="L132">
        <v>2</v>
      </c>
      <c r="M132">
        <v>3</v>
      </c>
      <c r="N132">
        <v>0</v>
      </c>
      <c r="O132">
        <v>1</v>
      </c>
    </row>
    <row r="133" spans="1:15" x14ac:dyDescent="0.3">
      <c r="A133">
        <v>132</v>
      </c>
      <c r="B133" t="s">
        <v>246</v>
      </c>
      <c r="C133" t="s">
        <v>247</v>
      </c>
      <c r="D133" t="s">
        <v>32</v>
      </c>
      <c r="E133" s="1">
        <v>42765</v>
      </c>
      <c r="F133" s="2">
        <f ca="1">DATEDIF(EmpTable[[#This Row],[Start Date]],TODAY(),"Y")</f>
        <v>9</v>
      </c>
      <c r="G133" t="s">
        <v>58</v>
      </c>
      <c r="H133" t="s">
        <v>29</v>
      </c>
      <c r="I133" t="s">
        <v>19</v>
      </c>
      <c r="J133">
        <v>1506</v>
      </c>
      <c r="K133">
        <v>18072</v>
      </c>
      <c r="L133">
        <v>3</v>
      </c>
      <c r="M133">
        <v>0</v>
      </c>
      <c r="N133">
        <v>0</v>
      </c>
      <c r="O133">
        <v>1</v>
      </c>
    </row>
    <row r="134" spans="1:15" x14ac:dyDescent="0.3">
      <c r="A134">
        <v>133</v>
      </c>
      <c r="B134" t="s">
        <v>33</v>
      </c>
      <c r="C134" t="s">
        <v>165</v>
      </c>
      <c r="D134" t="s">
        <v>32</v>
      </c>
      <c r="E134" s="1">
        <v>43103</v>
      </c>
      <c r="F134" s="2">
        <f ca="1">DATEDIF(EmpTable[[#This Row],[Start Date]],TODAY(),"Y")</f>
        <v>8</v>
      </c>
      <c r="G134" t="s">
        <v>50</v>
      </c>
      <c r="H134" t="s">
        <v>22</v>
      </c>
      <c r="I134" t="s">
        <v>36</v>
      </c>
      <c r="J134">
        <v>3159</v>
      </c>
      <c r="K134">
        <v>37908</v>
      </c>
      <c r="L134">
        <v>5</v>
      </c>
      <c r="M134">
        <v>0</v>
      </c>
      <c r="N134">
        <v>0</v>
      </c>
      <c r="O134">
        <v>10</v>
      </c>
    </row>
    <row r="135" spans="1:15" x14ac:dyDescent="0.3">
      <c r="A135">
        <v>134</v>
      </c>
      <c r="B135" t="s">
        <v>248</v>
      </c>
      <c r="C135" t="s">
        <v>249</v>
      </c>
      <c r="D135" t="s">
        <v>32</v>
      </c>
      <c r="E135" s="1">
        <v>42982</v>
      </c>
      <c r="F135" s="2">
        <f ca="1">DATEDIF(EmpTable[[#This Row],[Start Date]],TODAY(),"Y")</f>
        <v>8</v>
      </c>
      <c r="G135" t="s">
        <v>77</v>
      </c>
      <c r="H135" t="s">
        <v>48</v>
      </c>
      <c r="I135" t="s">
        <v>36</v>
      </c>
      <c r="J135">
        <v>1117</v>
      </c>
      <c r="K135">
        <v>13404</v>
      </c>
      <c r="L135">
        <v>1</v>
      </c>
      <c r="M135">
        <v>0</v>
      </c>
      <c r="N135">
        <v>0</v>
      </c>
      <c r="O135">
        <v>3</v>
      </c>
    </row>
    <row r="136" spans="1:15" x14ac:dyDescent="0.3">
      <c r="A136">
        <v>135</v>
      </c>
      <c r="B136" t="s">
        <v>250</v>
      </c>
      <c r="C136" t="s">
        <v>251</v>
      </c>
      <c r="D136" t="s">
        <v>307</v>
      </c>
      <c r="E136" s="1">
        <v>43265</v>
      </c>
      <c r="F136" s="2">
        <f ca="1">DATEDIF(EmpTable[[#This Row],[Start Date]],TODAY(),"Y")</f>
        <v>8</v>
      </c>
      <c r="G136" t="s">
        <v>17</v>
      </c>
      <c r="H136" t="s">
        <v>48</v>
      </c>
      <c r="I136" t="s">
        <v>19</v>
      </c>
      <c r="J136">
        <v>2379</v>
      </c>
      <c r="K136">
        <v>28548</v>
      </c>
      <c r="L136">
        <v>4.5</v>
      </c>
      <c r="M136">
        <v>0</v>
      </c>
      <c r="N136">
        <v>0</v>
      </c>
      <c r="O136">
        <v>7</v>
      </c>
    </row>
    <row r="137" spans="1:15" x14ac:dyDescent="0.3">
      <c r="A137">
        <v>136</v>
      </c>
      <c r="B137" t="s">
        <v>252</v>
      </c>
      <c r="C137" t="s">
        <v>216</v>
      </c>
      <c r="D137" t="s">
        <v>32</v>
      </c>
      <c r="E137" s="1">
        <v>43797</v>
      </c>
      <c r="F137" s="2">
        <f ca="1">DATEDIF(EmpTable[[#This Row],[Start Date]],TODAY(),"Y")</f>
        <v>6</v>
      </c>
      <c r="G137" t="s">
        <v>28</v>
      </c>
      <c r="H137" t="s">
        <v>18</v>
      </c>
      <c r="I137" t="s">
        <v>42</v>
      </c>
      <c r="J137">
        <v>2372</v>
      </c>
      <c r="K137">
        <v>28464</v>
      </c>
      <c r="L137">
        <v>5</v>
      </c>
      <c r="M137">
        <v>4</v>
      </c>
      <c r="N137">
        <v>1</v>
      </c>
      <c r="O137">
        <v>6</v>
      </c>
    </row>
    <row r="138" spans="1:15" x14ac:dyDescent="0.3">
      <c r="A138">
        <v>137</v>
      </c>
      <c r="B138" t="s">
        <v>253</v>
      </c>
      <c r="C138" t="s">
        <v>254</v>
      </c>
      <c r="D138" t="s">
        <v>32</v>
      </c>
      <c r="E138" s="1">
        <v>43870</v>
      </c>
      <c r="F138" s="2">
        <f ca="1">DATEDIF(EmpTable[[#This Row],[Start Date]],TODAY(),"Y")</f>
        <v>6</v>
      </c>
      <c r="G138" t="s">
        <v>77</v>
      </c>
      <c r="H138" t="s">
        <v>18</v>
      </c>
      <c r="I138" t="s">
        <v>36</v>
      </c>
      <c r="J138">
        <v>2908</v>
      </c>
      <c r="K138">
        <v>34896</v>
      </c>
      <c r="L138">
        <v>3</v>
      </c>
      <c r="M138">
        <v>0</v>
      </c>
      <c r="N138">
        <v>0</v>
      </c>
      <c r="O138">
        <v>12</v>
      </c>
    </row>
    <row r="139" spans="1:15" x14ac:dyDescent="0.3">
      <c r="A139">
        <v>138</v>
      </c>
      <c r="B139" t="s">
        <v>172</v>
      </c>
      <c r="C139" t="s">
        <v>255</v>
      </c>
      <c r="D139" t="s">
        <v>307</v>
      </c>
      <c r="E139" s="1">
        <v>43963</v>
      </c>
      <c r="F139" s="2">
        <f ca="1">DATEDIF(EmpTable[[#This Row],[Start Date]],TODAY(),"Y")</f>
        <v>6</v>
      </c>
      <c r="G139" t="s">
        <v>93</v>
      </c>
      <c r="H139" t="s">
        <v>18</v>
      </c>
      <c r="I139" t="s">
        <v>42</v>
      </c>
      <c r="J139">
        <v>2019</v>
      </c>
      <c r="K139">
        <v>24228</v>
      </c>
      <c r="L139">
        <v>3</v>
      </c>
      <c r="M139">
        <v>5</v>
      </c>
      <c r="N139">
        <v>2</v>
      </c>
      <c r="O139">
        <v>15</v>
      </c>
    </row>
    <row r="140" spans="1:15" x14ac:dyDescent="0.3">
      <c r="A140">
        <v>139</v>
      </c>
      <c r="B140" t="s">
        <v>219</v>
      </c>
      <c r="C140" t="s">
        <v>256</v>
      </c>
      <c r="D140" t="s">
        <v>32</v>
      </c>
      <c r="E140" s="1">
        <v>43249</v>
      </c>
      <c r="F140" s="2">
        <f ca="1">DATEDIF(EmpTable[[#This Row],[Start Date]],TODAY(),"Y")</f>
        <v>8</v>
      </c>
      <c r="G140" t="s">
        <v>28</v>
      </c>
      <c r="H140" t="s">
        <v>18</v>
      </c>
      <c r="I140" t="s">
        <v>36</v>
      </c>
      <c r="J140">
        <v>877</v>
      </c>
      <c r="K140">
        <v>10524</v>
      </c>
      <c r="L140">
        <v>1</v>
      </c>
      <c r="M140">
        <v>0</v>
      </c>
      <c r="N140">
        <v>0</v>
      </c>
      <c r="O140">
        <v>0</v>
      </c>
    </row>
    <row r="141" spans="1:15" x14ac:dyDescent="0.3">
      <c r="A141">
        <v>140</v>
      </c>
      <c r="B141" t="s">
        <v>59</v>
      </c>
      <c r="C141" t="s">
        <v>257</v>
      </c>
      <c r="D141" t="s">
        <v>32</v>
      </c>
      <c r="E141" s="1">
        <v>43546</v>
      </c>
      <c r="F141" s="2">
        <f ca="1">DATEDIF(EmpTable[[#This Row],[Start Date]],TODAY(),"Y")</f>
        <v>7</v>
      </c>
      <c r="G141" t="s">
        <v>58</v>
      </c>
      <c r="H141" t="s">
        <v>18</v>
      </c>
      <c r="I141" t="s">
        <v>36</v>
      </c>
      <c r="J141">
        <v>1043</v>
      </c>
      <c r="K141">
        <v>12516</v>
      </c>
      <c r="L141">
        <v>5</v>
      </c>
      <c r="M141">
        <v>0</v>
      </c>
      <c r="N141">
        <v>0</v>
      </c>
      <c r="O141">
        <v>0</v>
      </c>
    </row>
    <row r="142" spans="1:15" x14ac:dyDescent="0.3">
      <c r="A142">
        <v>141</v>
      </c>
      <c r="B142" t="s">
        <v>258</v>
      </c>
      <c r="C142" t="s">
        <v>259</v>
      </c>
      <c r="D142" t="s">
        <v>307</v>
      </c>
      <c r="E142" s="1">
        <v>43698</v>
      </c>
      <c r="F142" s="2">
        <f ca="1">DATEDIF(EmpTable[[#This Row],[Start Date]],TODAY(),"Y")</f>
        <v>7</v>
      </c>
      <c r="G142" t="s">
        <v>50</v>
      </c>
      <c r="H142" t="s">
        <v>29</v>
      </c>
      <c r="I142" t="s">
        <v>42</v>
      </c>
      <c r="J142">
        <v>3258</v>
      </c>
      <c r="K142">
        <v>39096</v>
      </c>
      <c r="L142">
        <v>3</v>
      </c>
      <c r="M142">
        <v>3</v>
      </c>
      <c r="N142">
        <v>0</v>
      </c>
      <c r="O142">
        <v>0</v>
      </c>
    </row>
    <row r="143" spans="1:15" x14ac:dyDescent="0.3">
      <c r="A143">
        <v>142</v>
      </c>
      <c r="B143" t="s">
        <v>260</v>
      </c>
      <c r="C143" t="s">
        <v>80</v>
      </c>
      <c r="D143" t="s">
        <v>307</v>
      </c>
      <c r="E143" s="1">
        <v>44165</v>
      </c>
      <c r="F143" s="2">
        <f ca="1">DATEDIF(EmpTable[[#This Row],[Start Date]],TODAY(),"Y")</f>
        <v>5</v>
      </c>
      <c r="G143" t="s">
        <v>77</v>
      </c>
      <c r="H143" t="s">
        <v>22</v>
      </c>
      <c r="I143" t="s">
        <v>36</v>
      </c>
      <c r="J143">
        <v>976</v>
      </c>
      <c r="K143">
        <v>11712</v>
      </c>
      <c r="L143">
        <v>5</v>
      </c>
      <c r="M143">
        <v>5</v>
      </c>
      <c r="N143">
        <v>0</v>
      </c>
      <c r="O143">
        <v>2</v>
      </c>
    </row>
    <row r="144" spans="1:15" x14ac:dyDescent="0.3">
      <c r="A144">
        <v>143</v>
      </c>
      <c r="B144" t="s">
        <v>261</v>
      </c>
      <c r="C144" t="s">
        <v>138</v>
      </c>
      <c r="D144" t="s">
        <v>307</v>
      </c>
      <c r="E144" s="1">
        <v>43571</v>
      </c>
      <c r="F144" s="2">
        <f ca="1">DATEDIF(EmpTable[[#This Row],[Start Date]],TODAY(),"Y")</f>
        <v>7</v>
      </c>
      <c r="G144" t="s">
        <v>41</v>
      </c>
      <c r="H144" t="s">
        <v>18</v>
      </c>
      <c r="I144" t="s">
        <v>42</v>
      </c>
      <c r="J144">
        <v>3096</v>
      </c>
      <c r="K144">
        <v>37152</v>
      </c>
      <c r="L144">
        <v>2</v>
      </c>
      <c r="M144">
        <v>0</v>
      </c>
      <c r="N144">
        <v>0</v>
      </c>
      <c r="O144">
        <v>8</v>
      </c>
    </row>
    <row r="145" spans="1:15" x14ac:dyDescent="0.3">
      <c r="A145">
        <v>144</v>
      </c>
      <c r="B145" t="s">
        <v>121</v>
      </c>
      <c r="C145" t="s">
        <v>262</v>
      </c>
      <c r="D145" t="s">
        <v>307</v>
      </c>
      <c r="E145" s="1">
        <v>43551</v>
      </c>
      <c r="F145" s="2">
        <f ca="1">DATEDIF(EmpTable[[#This Row],[Start Date]],TODAY(),"Y")</f>
        <v>7</v>
      </c>
      <c r="G145" t="s">
        <v>76</v>
      </c>
      <c r="H145" t="s">
        <v>18</v>
      </c>
      <c r="I145" t="s">
        <v>19</v>
      </c>
      <c r="J145">
        <v>1985</v>
      </c>
      <c r="K145">
        <v>23820</v>
      </c>
      <c r="L145">
        <v>3</v>
      </c>
      <c r="M145">
        <v>6</v>
      </c>
      <c r="N145">
        <v>2</v>
      </c>
      <c r="O145">
        <v>6</v>
      </c>
    </row>
    <row r="146" spans="1:15" x14ac:dyDescent="0.3">
      <c r="A146">
        <v>145</v>
      </c>
      <c r="B146" t="s">
        <v>30</v>
      </c>
      <c r="C146" t="s">
        <v>33</v>
      </c>
      <c r="D146" t="s">
        <v>32</v>
      </c>
      <c r="E146" s="1">
        <v>43850</v>
      </c>
      <c r="F146" s="2">
        <f ca="1">DATEDIF(EmpTable[[#This Row],[Start Date]],TODAY(),"Y")</f>
        <v>6</v>
      </c>
      <c r="G146" t="s">
        <v>35</v>
      </c>
      <c r="H146" t="s">
        <v>29</v>
      </c>
      <c r="I146" t="s">
        <v>42</v>
      </c>
      <c r="J146">
        <v>2371</v>
      </c>
      <c r="K146">
        <v>28452</v>
      </c>
      <c r="L146">
        <v>5</v>
      </c>
      <c r="M146">
        <v>0</v>
      </c>
      <c r="N146">
        <v>0</v>
      </c>
      <c r="O146">
        <v>1</v>
      </c>
    </row>
    <row r="147" spans="1:15" x14ac:dyDescent="0.3">
      <c r="A147">
        <v>146</v>
      </c>
      <c r="B147" t="s">
        <v>263</v>
      </c>
      <c r="C147" t="s">
        <v>264</v>
      </c>
      <c r="D147" t="s">
        <v>32</v>
      </c>
      <c r="E147" s="1">
        <v>43520</v>
      </c>
      <c r="F147" s="2">
        <f ca="1">DATEDIF(EmpTable[[#This Row],[Start Date]],TODAY(),"Y")</f>
        <v>7</v>
      </c>
      <c r="G147" t="s">
        <v>77</v>
      </c>
      <c r="H147" t="s">
        <v>18</v>
      </c>
      <c r="I147" t="s">
        <v>36</v>
      </c>
      <c r="J147">
        <v>2562</v>
      </c>
      <c r="K147">
        <v>30744</v>
      </c>
      <c r="L147">
        <v>2</v>
      </c>
      <c r="M147">
        <v>4</v>
      </c>
      <c r="N147">
        <v>0</v>
      </c>
      <c r="O147">
        <v>3</v>
      </c>
    </row>
    <row r="148" spans="1:15" x14ac:dyDescent="0.3">
      <c r="A148">
        <v>147</v>
      </c>
      <c r="B148" t="s">
        <v>265</v>
      </c>
      <c r="C148" t="s">
        <v>266</v>
      </c>
      <c r="D148" t="s">
        <v>307</v>
      </c>
      <c r="E148" s="1">
        <v>44071</v>
      </c>
      <c r="F148" s="2">
        <f ca="1">DATEDIF(EmpTable[[#This Row],[Start Date]],TODAY(),"Y")</f>
        <v>6</v>
      </c>
      <c r="G148" t="s">
        <v>17</v>
      </c>
      <c r="H148" t="s">
        <v>48</v>
      </c>
      <c r="I148" t="s">
        <v>42</v>
      </c>
      <c r="J148">
        <v>1254</v>
      </c>
      <c r="K148">
        <v>15048</v>
      </c>
      <c r="L148">
        <v>5</v>
      </c>
      <c r="M148">
        <v>0</v>
      </c>
      <c r="N148">
        <v>0</v>
      </c>
      <c r="O148">
        <v>8</v>
      </c>
    </row>
    <row r="149" spans="1:15" x14ac:dyDescent="0.3">
      <c r="A149">
        <v>148</v>
      </c>
      <c r="B149" t="s">
        <v>20</v>
      </c>
      <c r="C149" t="s">
        <v>267</v>
      </c>
      <c r="D149" t="s">
        <v>32</v>
      </c>
      <c r="E149" s="1">
        <v>43173</v>
      </c>
      <c r="F149" s="2">
        <f ca="1">DATEDIF(EmpTable[[#This Row],[Start Date]],TODAY(),"Y")</f>
        <v>8</v>
      </c>
      <c r="G149" t="s">
        <v>28</v>
      </c>
      <c r="H149" t="s">
        <v>48</v>
      </c>
      <c r="I149" t="s">
        <v>42</v>
      </c>
      <c r="J149">
        <v>793</v>
      </c>
      <c r="K149">
        <v>9516</v>
      </c>
      <c r="L149">
        <v>5</v>
      </c>
      <c r="M149">
        <v>6</v>
      </c>
      <c r="N149">
        <v>0</v>
      </c>
      <c r="O149">
        <v>2</v>
      </c>
    </row>
    <row r="150" spans="1:15" x14ac:dyDescent="0.3">
      <c r="A150">
        <v>149</v>
      </c>
      <c r="B150" t="s">
        <v>268</v>
      </c>
      <c r="C150" t="s">
        <v>269</v>
      </c>
      <c r="D150" t="s">
        <v>307</v>
      </c>
      <c r="E150" s="1">
        <v>43007</v>
      </c>
      <c r="F150" s="2">
        <f ca="1">DATEDIF(EmpTable[[#This Row],[Start Date]],TODAY(),"Y")</f>
        <v>8</v>
      </c>
      <c r="G150" t="s">
        <v>118</v>
      </c>
      <c r="H150" t="s">
        <v>18</v>
      </c>
      <c r="I150" t="s">
        <v>19</v>
      </c>
      <c r="J150">
        <v>2416</v>
      </c>
      <c r="K150">
        <v>28992</v>
      </c>
      <c r="L150">
        <v>3</v>
      </c>
      <c r="M150">
        <v>0</v>
      </c>
      <c r="N150">
        <v>0</v>
      </c>
      <c r="O150">
        <v>2</v>
      </c>
    </row>
    <row r="151" spans="1:15" x14ac:dyDescent="0.3">
      <c r="A151">
        <v>150</v>
      </c>
      <c r="B151" t="s">
        <v>270</v>
      </c>
      <c r="C151" t="s">
        <v>271</v>
      </c>
      <c r="D151" t="s">
        <v>32</v>
      </c>
      <c r="E151" s="1">
        <v>42773</v>
      </c>
      <c r="F151" s="2">
        <f ca="1">DATEDIF(EmpTable[[#This Row],[Start Date]],TODAY(),"Y")</f>
        <v>9</v>
      </c>
      <c r="G151" t="s">
        <v>53</v>
      </c>
      <c r="H151" t="s">
        <v>48</v>
      </c>
      <c r="I151" t="s">
        <v>36</v>
      </c>
      <c r="J151">
        <v>822</v>
      </c>
      <c r="K151">
        <v>9864</v>
      </c>
      <c r="L151">
        <v>5</v>
      </c>
      <c r="M151">
        <v>6</v>
      </c>
      <c r="N151">
        <v>0</v>
      </c>
      <c r="O151">
        <v>1</v>
      </c>
    </row>
    <row r="152" spans="1:15" x14ac:dyDescent="0.3">
      <c r="A152">
        <v>151</v>
      </c>
      <c r="B152" t="s">
        <v>272</v>
      </c>
      <c r="C152" t="s">
        <v>273</v>
      </c>
      <c r="D152" t="s">
        <v>32</v>
      </c>
      <c r="E152" s="1">
        <v>44118</v>
      </c>
      <c r="F152" s="2">
        <f ca="1">DATEDIF(EmpTable[[#This Row],[Start Date]],TODAY(),"Y")</f>
        <v>5</v>
      </c>
      <c r="G152" t="s">
        <v>28</v>
      </c>
      <c r="H152" t="s">
        <v>18</v>
      </c>
      <c r="I152" t="s">
        <v>60</v>
      </c>
      <c r="J152">
        <v>1442</v>
      </c>
      <c r="K152">
        <v>17304</v>
      </c>
      <c r="L152">
        <v>5</v>
      </c>
      <c r="M152">
        <v>2</v>
      </c>
      <c r="N152">
        <v>1</v>
      </c>
      <c r="O152">
        <v>23</v>
      </c>
    </row>
    <row r="153" spans="1:15" x14ac:dyDescent="0.3">
      <c r="A153">
        <v>152</v>
      </c>
      <c r="B153" t="s">
        <v>37</v>
      </c>
      <c r="C153" t="s">
        <v>274</v>
      </c>
      <c r="D153" t="s">
        <v>307</v>
      </c>
      <c r="E153" s="1">
        <v>43780</v>
      </c>
      <c r="F153" s="2">
        <f ca="1">DATEDIF(EmpTable[[#This Row],[Start Date]],TODAY(),"Y")</f>
        <v>6</v>
      </c>
      <c r="G153" t="s">
        <v>50</v>
      </c>
      <c r="H153" t="s">
        <v>18</v>
      </c>
      <c r="I153" t="s">
        <v>19</v>
      </c>
      <c r="J153">
        <v>887</v>
      </c>
      <c r="K153">
        <v>10644</v>
      </c>
      <c r="L153">
        <v>4.5</v>
      </c>
      <c r="M153">
        <v>0</v>
      </c>
      <c r="N153">
        <v>0</v>
      </c>
      <c r="O153">
        <v>54</v>
      </c>
    </row>
    <row r="154" spans="1:15" x14ac:dyDescent="0.3">
      <c r="A154">
        <v>153</v>
      </c>
      <c r="B154" t="s">
        <v>275</v>
      </c>
      <c r="C154" t="s">
        <v>276</v>
      </c>
      <c r="D154" t="s">
        <v>307</v>
      </c>
      <c r="E154" s="1">
        <v>42792</v>
      </c>
      <c r="F154" s="2">
        <f ca="1">DATEDIF(EmpTable[[#This Row],[Start Date]],TODAY(),"Y")</f>
        <v>9</v>
      </c>
      <c r="G154" t="s">
        <v>28</v>
      </c>
      <c r="H154" t="s">
        <v>18</v>
      </c>
      <c r="I154" t="s">
        <v>36</v>
      </c>
      <c r="J154">
        <v>1671</v>
      </c>
      <c r="K154">
        <v>20052</v>
      </c>
      <c r="L154">
        <v>2</v>
      </c>
      <c r="M154">
        <v>0</v>
      </c>
      <c r="N154">
        <v>0</v>
      </c>
      <c r="O154">
        <v>3</v>
      </c>
    </row>
    <row r="155" spans="1:15" x14ac:dyDescent="0.3">
      <c r="A155">
        <v>154</v>
      </c>
      <c r="B155" t="s">
        <v>89</v>
      </c>
      <c r="C155" t="s">
        <v>277</v>
      </c>
      <c r="D155" t="s">
        <v>307</v>
      </c>
      <c r="E155" s="1">
        <v>43551</v>
      </c>
      <c r="F155" s="2">
        <f ca="1">DATEDIF(EmpTable[[#This Row],[Start Date]],TODAY(),"Y")</f>
        <v>7</v>
      </c>
      <c r="G155" t="s">
        <v>41</v>
      </c>
      <c r="H155" t="s">
        <v>29</v>
      </c>
      <c r="I155" t="s">
        <v>42</v>
      </c>
      <c r="J155">
        <v>1877</v>
      </c>
      <c r="K155">
        <v>22524</v>
      </c>
      <c r="L155">
        <v>4.5</v>
      </c>
      <c r="M155">
        <v>1</v>
      </c>
      <c r="N155">
        <v>0</v>
      </c>
      <c r="O155">
        <v>0</v>
      </c>
    </row>
    <row r="156" spans="1:15" x14ac:dyDescent="0.3">
      <c r="A156">
        <v>155</v>
      </c>
      <c r="B156" t="s">
        <v>278</v>
      </c>
      <c r="C156" t="s">
        <v>279</v>
      </c>
      <c r="D156" t="s">
        <v>307</v>
      </c>
      <c r="E156" s="1">
        <v>43529</v>
      </c>
      <c r="F156" s="2">
        <f ca="1">DATEDIF(EmpTable[[#This Row],[Start Date]],TODAY(),"Y")</f>
        <v>7</v>
      </c>
      <c r="G156" t="s">
        <v>50</v>
      </c>
      <c r="H156" t="s">
        <v>29</v>
      </c>
      <c r="I156" t="s">
        <v>36</v>
      </c>
      <c r="J156">
        <v>1960</v>
      </c>
      <c r="K156">
        <v>23520</v>
      </c>
      <c r="L156">
        <v>2</v>
      </c>
      <c r="M156">
        <v>0</v>
      </c>
      <c r="N156">
        <v>0</v>
      </c>
      <c r="O156">
        <v>8</v>
      </c>
    </row>
    <row r="157" spans="1:15" x14ac:dyDescent="0.3">
      <c r="A157">
        <v>156</v>
      </c>
      <c r="B157" t="s">
        <v>195</v>
      </c>
      <c r="C157" t="s">
        <v>66</v>
      </c>
      <c r="D157" t="s">
        <v>32</v>
      </c>
      <c r="E157" s="1">
        <v>43300</v>
      </c>
      <c r="F157" s="2">
        <f ca="1">DATEDIF(EmpTable[[#This Row],[Start Date]],TODAY(),"Y")</f>
        <v>8</v>
      </c>
      <c r="G157" t="s">
        <v>28</v>
      </c>
      <c r="H157" t="s">
        <v>29</v>
      </c>
      <c r="I157" t="s">
        <v>42</v>
      </c>
      <c r="J157">
        <v>2422</v>
      </c>
      <c r="K157">
        <v>29064</v>
      </c>
      <c r="L157">
        <v>4.5</v>
      </c>
      <c r="M157">
        <v>0</v>
      </c>
      <c r="N157">
        <v>2</v>
      </c>
      <c r="O157">
        <v>10</v>
      </c>
    </row>
    <row r="158" spans="1:15" x14ac:dyDescent="0.3">
      <c r="A158">
        <v>157</v>
      </c>
      <c r="B158" t="s">
        <v>280</v>
      </c>
      <c r="C158" t="s">
        <v>281</v>
      </c>
      <c r="D158" t="s">
        <v>307</v>
      </c>
      <c r="E158" s="1">
        <v>43683</v>
      </c>
      <c r="F158" s="2">
        <f ca="1">DATEDIF(EmpTable[[#This Row],[Start Date]],TODAY(),"Y")</f>
        <v>7</v>
      </c>
      <c r="G158" t="s">
        <v>28</v>
      </c>
      <c r="H158" t="s">
        <v>22</v>
      </c>
      <c r="I158" t="s">
        <v>42</v>
      </c>
      <c r="J158">
        <v>1299</v>
      </c>
      <c r="K158">
        <v>15588</v>
      </c>
      <c r="L158">
        <v>5</v>
      </c>
      <c r="M158">
        <v>0</v>
      </c>
      <c r="N158">
        <v>0</v>
      </c>
      <c r="O158">
        <v>8</v>
      </c>
    </row>
    <row r="159" spans="1:15" x14ac:dyDescent="0.3">
      <c r="A159">
        <v>158</v>
      </c>
      <c r="B159" t="s">
        <v>282</v>
      </c>
      <c r="C159" t="s">
        <v>283</v>
      </c>
      <c r="D159" t="s">
        <v>32</v>
      </c>
      <c r="E159" s="1">
        <v>43908</v>
      </c>
      <c r="F159" s="2">
        <f ca="1">DATEDIF(EmpTable[[#This Row],[Start Date]],TODAY(),"Y")</f>
        <v>6</v>
      </c>
      <c r="G159" t="s">
        <v>25</v>
      </c>
      <c r="H159" t="s">
        <v>18</v>
      </c>
      <c r="I159" t="s">
        <v>60</v>
      </c>
      <c r="J159">
        <v>2127</v>
      </c>
      <c r="K159">
        <v>25524</v>
      </c>
      <c r="L159">
        <v>5</v>
      </c>
      <c r="M159">
        <v>0</v>
      </c>
      <c r="N159">
        <v>0</v>
      </c>
      <c r="O159">
        <v>3</v>
      </c>
    </row>
    <row r="160" spans="1:15" x14ac:dyDescent="0.3">
      <c r="A160">
        <v>159</v>
      </c>
      <c r="B160" t="s">
        <v>121</v>
      </c>
      <c r="C160" t="s">
        <v>284</v>
      </c>
      <c r="D160" t="s">
        <v>307</v>
      </c>
      <c r="E160" s="1">
        <v>43653</v>
      </c>
      <c r="F160" s="2">
        <f ca="1">DATEDIF(EmpTable[[#This Row],[Start Date]],TODAY(),"Y")</f>
        <v>7</v>
      </c>
      <c r="G160" t="s">
        <v>17</v>
      </c>
      <c r="H160" t="s">
        <v>18</v>
      </c>
      <c r="I160" t="s">
        <v>36</v>
      </c>
      <c r="J160">
        <v>3096</v>
      </c>
      <c r="K160">
        <v>37152</v>
      </c>
      <c r="L160">
        <v>2</v>
      </c>
      <c r="M160">
        <v>5</v>
      </c>
      <c r="N160">
        <v>0</v>
      </c>
      <c r="O160">
        <v>9</v>
      </c>
    </row>
    <row r="161" spans="1:15" x14ac:dyDescent="0.3">
      <c r="A161">
        <v>160</v>
      </c>
      <c r="B161" t="s">
        <v>285</v>
      </c>
      <c r="C161" t="s">
        <v>286</v>
      </c>
      <c r="D161" t="s">
        <v>307</v>
      </c>
      <c r="E161" s="1">
        <v>42405</v>
      </c>
      <c r="F161" s="2">
        <f ca="1">DATEDIF(EmpTable[[#This Row],[Start Date]],TODAY(),"Y")</f>
        <v>10</v>
      </c>
      <c r="G161" t="s">
        <v>28</v>
      </c>
      <c r="H161" t="s">
        <v>18</v>
      </c>
      <c r="I161" t="s">
        <v>19</v>
      </c>
      <c r="J161">
        <v>951</v>
      </c>
      <c r="K161">
        <v>11412</v>
      </c>
      <c r="L161">
        <v>1</v>
      </c>
      <c r="M161">
        <v>6</v>
      </c>
      <c r="N161">
        <v>0</v>
      </c>
      <c r="O161">
        <v>8</v>
      </c>
    </row>
    <row r="162" spans="1:15" x14ac:dyDescent="0.3">
      <c r="A162">
        <v>161</v>
      </c>
      <c r="B162" t="s">
        <v>33</v>
      </c>
      <c r="C162" t="s">
        <v>287</v>
      </c>
      <c r="D162" t="s">
        <v>32</v>
      </c>
      <c r="E162" s="1">
        <v>43967</v>
      </c>
      <c r="F162" s="2">
        <f ca="1">DATEDIF(EmpTable[[#This Row],[Start Date]],TODAY(),"Y")</f>
        <v>6</v>
      </c>
      <c r="G162" t="s">
        <v>28</v>
      </c>
      <c r="H162" t="s">
        <v>18</v>
      </c>
      <c r="I162" t="s">
        <v>36</v>
      </c>
      <c r="J162">
        <v>2940</v>
      </c>
      <c r="K162">
        <v>35280</v>
      </c>
      <c r="L162">
        <v>1</v>
      </c>
      <c r="M162">
        <v>6</v>
      </c>
      <c r="N162">
        <v>0</v>
      </c>
      <c r="O162">
        <v>13</v>
      </c>
    </row>
    <row r="163" spans="1:15" x14ac:dyDescent="0.3">
      <c r="A163">
        <v>162</v>
      </c>
      <c r="B163" t="s">
        <v>288</v>
      </c>
      <c r="C163" t="s">
        <v>289</v>
      </c>
      <c r="D163" t="s">
        <v>307</v>
      </c>
      <c r="E163" s="1">
        <v>44102</v>
      </c>
      <c r="F163" s="2">
        <f ca="1">DATEDIF(EmpTable[[#This Row],[Start Date]],TODAY(),"Y")</f>
        <v>5</v>
      </c>
      <c r="G163" t="s">
        <v>53</v>
      </c>
      <c r="H163" t="s">
        <v>22</v>
      </c>
      <c r="I163" t="s">
        <v>42</v>
      </c>
      <c r="J163">
        <v>3293</v>
      </c>
      <c r="K163">
        <v>39516</v>
      </c>
      <c r="L163">
        <v>4.5</v>
      </c>
      <c r="M163">
        <v>1</v>
      </c>
      <c r="N163">
        <v>6</v>
      </c>
      <c r="O163">
        <v>9</v>
      </c>
    </row>
    <row r="164" spans="1:15" x14ac:dyDescent="0.3">
      <c r="A164">
        <v>163</v>
      </c>
      <c r="B164" t="s">
        <v>290</v>
      </c>
      <c r="C164" t="s">
        <v>291</v>
      </c>
      <c r="D164" t="s">
        <v>32</v>
      </c>
      <c r="E164" s="1">
        <v>42840</v>
      </c>
      <c r="F164" s="2">
        <f ca="1">DATEDIF(EmpTable[[#This Row],[Start Date]],TODAY(),"Y")</f>
        <v>9</v>
      </c>
      <c r="G164" t="s">
        <v>58</v>
      </c>
      <c r="H164" t="s">
        <v>29</v>
      </c>
      <c r="I164" t="s">
        <v>36</v>
      </c>
      <c r="J164">
        <v>3250</v>
      </c>
      <c r="K164">
        <v>39000</v>
      </c>
      <c r="L164">
        <v>2</v>
      </c>
      <c r="M164">
        <v>1</v>
      </c>
      <c r="N164">
        <v>0</v>
      </c>
      <c r="O164">
        <v>8</v>
      </c>
    </row>
    <row r="165" spans="1:15" x14ac:dyDescent="0.3">
      <c r="A165">
        <v>164</v>
      </c>
      <c r="B165" t="s">
        <v>69</v>
      </c>
      <c r="C165" t="s">
        <v>292</v>
      </c>
      <c r="D165" t="s">
        <v>32</v>
      </c>
      <c r="E165" s="1">
        <v>43385</v>
      </c>
      <c r="F165" s="2">
        <f ca="1">DATEDIF(EmpTable[[#This Row],[Start Date]],TODAY(),"Y")</f>
        <v>7</v>
      </c>
      <c r="G165" t="s">
        <v>41</v>
      </c>
      <c r="H165" t="s">
        <v>18</v>
      </c>
      <c r="I165" t="s">
        <v>42</v>
      </c>
      <c r="J165">
        <v>2085</v>
      </c>
      <c r="K165">
        <v>25020</v>
      </c>
      <c r="L165">
        <v>3</v>
      </c>
      <c r="M165">
        <v>1</v>
      </c>
      <c r="N165">
        <v>0</v>
      </c>
      <c r="O165">
        <v>9</v>
      </c>
    </row>
    <row r="166" spans="1:15" x14ac:dyDescent="0.3">
      <c r="A166">
        <v>165</v>
      </c>
      <c r="B166" t="s">
        <v>293</v>
      </c>
      <c r="C166" t="s">
        <v>30</v>
      </c>
      <c r="D166" t="s">
        <v>32</v>
      </c>
      <c r="E166" s="1">
        <v>43638</v>
      </c>
      <c r="F166" s="2">
        <f ca="1">DATEDIF(EmpTable[[#This Row],[Start Date]],TODAY(),"Y")</f>
        <v>7</v>
      </c>
      <c r="G166" t="s">
        <v>28</v>
      </c>
      <c r="H166" t="s">
        <v>294</v>
      </c>
      <c r="I166" t="s">
        <v>42</v>
      </c>
      <c r="J166">
        <v>1578</v>
      </c>
      <c r="K166">
        <v>18936</v>
      </c>
      <c r="L166">
        <v>3</v>
      </c>
      <c r="M166">
        <v>0</v>
      </c>
      <c r="N166">
        <v>0</v>
      </c>
      <c r="O166">
        <v>15</v>
      </c>
    </row>
    <row r="167" spans="1:15" x14ac:dyDescent="0.3">
      <c r="A167">
        <v>166</v>
      </c>
      <c r="B167" t="s">
        <v>295</v>
      </c>
      <c r="C167" t="s">
        <v>296</v>
      </c>
      <c r="D167" t="s">
        <v>307</v>
      </c>
      <c r="E167" s="1">
        <v>43725</v>
      </c>
      <c r="F167" s="2">
        <f ca="1">DATEDIF(EmpTable[[#This Row],[Start Date]],TODAY(),"Y")</f>
        <v>6</v>
      </c>
      <c r="G167" t="s">
        <v>41</v>
      </c>
      <c r="H167" t="s">
        <v>29</v>
      </c>
      <c r="I167" t="s">
        <v>42</v>
      </c>
      <c r="J167">
        <v>1169</v>
      </c>
      <c r="K167">
        <v>14028</v>
      </c>
      <c r="L167">
        <v>3</v>
      </c>
      <c r="M167">
        <v>1</v>
      </c>
      <c r="N167">
        <v>0</v>
      </c>
      <c r="O167">
        <v>10</v>
      </c>
    </row>
    <row r="168" spans="1:15" x14ac:dyDescent="0.3">
      <c r="A168">
        <v>167</v>
      </c>
      <c r="B168" t="s">
        <v>297</v>
      </c>
      <c r="C168" t="s">
        <v>298</v>
      </c>
      <c r="D168" t="s">
        <v>307</v>
      </c>
      <c r="E168" s="1">
        <v>42927</v>
      </c>
      <c r="F168" s="2">
        <f ca="1">DATEDIF(EmpTable[[#This Row],[Start Date]],TODAY(),"Y")</f>
        <v>9</v>
      </c>
      <c r="G168" t="s">
        <v>41</v>
      </c>
      <c r="H168" t="s">
        <v>22</v>
      </c>
      <c r="I168" t="s">
        <v>60</v>
      </c>
      <c r="J168">
        <v>1054</v>
      </c>
      <c r="K168">
        <v>12648</v>
      </c>
      <c r="L168">
        <v>5</v>
      </c>
      <c r="M168">
        <v>4</v>
      </c>
      <c r="N168">
        <v>6</v>
      </c>
      <c r="O168">
        <v>7</v>
      </c>
    </row>
    <row r="169" spans="1:15" x14ac:dyDescent="0.3">
      <c r="A169">
        <v>168</v>
      </c>
      <c r="B169" t="s">
        <v>299</v>
      </c>
      <c r="C169" t="s">
        <v>80</v>
      </c>
      <c r="D169" t="s">
        <v>307</v>
      </c>
      <c r="E169" s="1">
        <v>43680</v>
      </c>
      <c r="F169" s="2">
        <f ca="1">DATEDIF(EmpTable[[#This Row],[Start Date]],TODAY(),"Y")</f>
        <v>7</v>
      </c>
      <c r="G169" t="s">
        <v>41</v>
      </c>
      <c r="H169" t="s">
        <v>18</v>
      </c>
      <c r="I169" t="s">
        <v>42</v>
      </c>
      <c r="J169">
        <v>1349</v>
      </c>
      <c r="K169">
        <v>16188</v>
      </c>
      <c r="L169">
        <v>4.5</v>
      </c>
      <c r="M169">
        <v>1</v>
      </c>
      <c r="N169">
        <v>0</v>
      </c>
      <c r="O169">
        <v>4</v>
      </c>
    </row>
    <row r="170" spans="1:15" x14ac:dyDescent="0.3">
      <c r="A170">
        <v>169</v>
      </c>
      <c r="B170" t="s">
        <v>300</v>
      </c>
      <c r="C170" t="s">
        <v>301</v>
      </c>
      <c r="D170" t="s">
        <v>307</v>
      </c>
      <c r="E170" s="1">
        <v>43571</v>
      </c>
      <c r="F170" s="2">
        <f ca="1">DATEDIF(EmpTable[[#This Row],[Start Date]],TODAY(),"Y")</f>
        <v>7</v>
      </c>
      <c r="G170" t="s">
        <v>17</v>
      </c>
      <c r="H170" t="s">
        <v>29</v>
      </c>
      <c r="I170" t="s">
        <v>60</v>
      </c>
      <c r="J170">
        <v>2196</v>
      </c>
      <c r="K170">
        <v>26352</v>
      </c>
      <c r="L170">
        <v>5</v>
      </c>
      <c r="M170">
        <v>4</v>
      </c>
      <c r="N170">
        <v>0</v>
      </c>
      <c r="O170">
        <v>9</v>
      </c>
    </row>
    <row r="171" spans="1:15" x14ac:dyDescent="0.3">
      <c r="A171">
        <v>170</v>
      </c>
      <c r="B171" t="s">
        <v>59</v>
      </c>
      <c r="C171" t="s">
        <v>142</v>
      </c>
      <c r="D171" t="s">
        <v>307</v>
      </c>
      <c r="E171" s="1">
        <v>43846</v>
      </c>
      <c r="F171" s="2">
        <f ca="1">DATEDIF(EmpTable[[#This Row],[Start Date]],TODAY(),"Y")</f>
        <v>6</v>
      </c>
      <c r="G171" t="s">
        <v>77</v>
      </c>
      <c r="H171" t="s">
        <v>18</v>
      </c>
      <c r="I171" t="s">
        <v>42</v>
      </c>
      <c r="J171">
        <v>3264</v>
      </c>
      <c r="K171">
        <v>39168</v>
      </c>
      <c r="L171">
        <v>5</v>
      </c>
      <c r="M171">
        <v>6</v>
      </c>
      <c r="N171">
        <v>5</v>
      </c>
      <c r="O171">
        <v>4</v>
      </c>
    </row>
    <row r="172" spans="1:15" x14ac:dyDescent="0.3">
      <c r="A172">
        <v>171</v>
      </c>
      <c r="B172" t="s">
        <v>33</v>
      </c>
      <c r="C172" t="s">
        <v>302</v>
      </c>
      <c r="D172" t="s">
        <v>32</v>
      </c>
      <c r="E172" s="1">
        <v>42942</v>
      </c>
      <c r="F172" s="2">
        <f ca="1">DATEDIF(EmpTable[[#This Row],[Start Date]],TODAY(),"Y")</f>
        <v>9</v>
      </c>
      <c r="G172" t="s">
        <v>17</v>
      </c>
      <c r="H172" t="s">
        <v>29</v>
      </c>
      <c r="I172" t="s">
        <v>36</v>
      </c>
      <c r="J172">
        <v>1232</v>
      </c>
      <c r="K172">
        <v>14784</v>
      </c>
      <c r="L172">
        <v>5</v>
      </c>
      <c r="M172">
        <v>4</v>
      </c>
      <c r="N172">
        <v>5</v>
      </c>
      <c r="O172">
        <v>2</v>
      </c>
    </row>
    <row r="173" spans="1:15" x14ac:dyDescent="0.3">
      <c r="A173">
        <v>172</v>
      </c>
      <c r="B173" t="s">
        <v>303</v>
      </c>
      <c r="C173" t="s">
        <v>304</v>
      </c>
      <c r="D173" t="s">
        <v>307</v>
      </c>
      <c r="E173" s="1">
        <v>43787</v>
      </c>
      <c r="F173" s="2">
        <f ca="1">DATEDIF(EmpTable[[#This Row],[Start Date]],TODAY(),"Y")</f>
        <v>6</v>
      </c>
      <c r="G173" t="s">
        <v>50</v>
      </c>
      <c r="H173" t="s">
        <v>18</v>
      </c>
      <c r="I173" t="s">
        <v>42</v>
      </c>
      <c r="J173">
        <v>2401</v>
      </c>
      <c r="K173">
        <v>28812</v>
      </c>
      <c r="L173">
        <v>5</v>
      </c>
      <c r="M173">
        <v>0</v>
      </c>
      <c r="N173">
        <v>0</v>
      </c>
      <c r="O173">
        <v>9</v>
      </c>
    </row>
    <row r="174" spans="1:15" x14ac:dyDescent="0.3">
      <c r="A174">
        <v>173</v>
      </c>
      <c r="B174" t="s">
        <v>305</v>
      </c>
      <c r="C174" t="s">
        <v>306</v>
      </c>
      <c r="D174" t="s">
        <v>307</v>
      </c>
      <c r="E174" s="1">
        <v>42994</v>
      </c>
      <c r="F174" s="2">
        <f ca="1">DATEDIF(EmpTable[[#This Row],[Start Date]],TODAY(),"Y")</f>
        <v>8</v>
      </c>
      <c r="G174" t="s">
        <v>28</v>
      </c>
      <c r="H174" t="s">
        <v>22</v>
      </c>
      <c r="I174" t="s">
        <v>42</v>
      </c>
      <c r="J174">
        <v>3168</v>
      </c>
      <c r="K174">
        <v>38016</v>
      </c>
      <c r="L174">
        <v>5</v>
      </c>
      <c r="M174">
        <v>0</v>
      </c>
      <c r="N174">
        <v>0</v>
      </c>
      <c r="O174">
        <v>18</v>
      </c>
    </row>
    <row r="175" spans="1:15" x14ac:dyDescent="0.3">
      <c r="A175">
        <v>174</v>
      </c>
      <c r="B175" t="s">
        <v>82</v>
      </c>
      <c r="C175" t="s">
        <v>308</v>
      </c>
      <c r="D175" t="s">
        <v>307</v>
      </c>
      <c r="E175" s="1">
        <v>43148</v>
      </c>
      <c r="F175" s="2">
        <f ca="1">DATEDIF(EmpTable[[#This Row],[Start Date]],TODAY(),"Y")</f>
        <v>8</v>
      </c>
      <c r="G175" t="s">
        <v>77</v>
      </c>
      <c r="H175" t="s">
        <v>18</v>
      </c>
      <c r="I175" t="s">
        <v>42</v>
      </c>
      <c r="J175">
        <v>1620</v>
      </c>
      <c r="K175">
        <v>19440</v>
      </c>
      <c r="L175">
        <v>5</v>
      </c>
      <c r="M175">
        <v>5</v>
      </c>
      <c r="N175">
        <v>0</v>
      </c>
      <c r="O175">
        <v>10</v>
      </c>
    </row>
    <row r="176" spans="1:15" x14ac:dyDescent="0.3">
      <c r="A176">
        <v>175</v>
      </c>
      <c r="B176" t="s">
        <v>151</v>
      </c>
      <c r="C176" t="s">
        <v>309</v>
      </c>
      <c r="D176" t="s">
        <v>32</v>
      </c>
      <c r="E176" s="1">
        <v>42892</v>
      </c>
      <c r="F176" s="2">
        <f ca="1">DATEDIF(EmpTable[[#This Row],[Start Date]],TODAY(),"Y")</f>
        <v>9</v>
      </c>
      <c r="G176" t="s">
        <v>17</v>
      </c>
      <c r="H176" t="s">
        <v>29</v>
      </c>
      <c r="I176" t="s">
        <v>42</v>
      </c>
      <c r="J176">
        <v>1482</v>
      </c>
      <c r="K176">
        <v>17784</v>
      </c>
      <c r="L176">
        <v>5</v>
      </c>
      <c r="M176">
        <v>0</v>
      </c>
      <c r="N176">
        <v>0</v>
      </c>
      <c r="O176">
        <v>3</v>
      </c>
    </row>
    <row r="177" spans="1:15" x14ac:dyDescent="0.3">
      <c r="A177">
        <v>176</v>
      </c>
      <c r="B177" t="s">
        <v>310</v>
      </c>
      <c r="C177" t="s">
        <v>311</v>
      </c>
      <c r="D177" t="s">
        <v>307</v>
      </c>
      <c r="E177" s="1">
        <v>43939</v>
      </c>
      <c r="F177" s="2">
        <f ca="1">DATEDIF(EmpTable[[#This Row],[Start Date]],TODAY(),"Y")</f>
        <v>6</v>
      </c>
      <c r="G177" t="s">
        <v>41</v>
      </c>
      <c r="H177" t="s">
        <v>18</v>
      </c>
      <c r="I177" t="s">
        <v>42</v>
      </c>
      <c r="J177">
        <v>1967</v>
      </c>
      <c r="K177">
        <v>23604</v>
      </c>
      <c r="L177">
        <v>4.5</v>
      </c>
      <c r="M177">
        <v>6</v>
      </c>
      <c r="N177">
        <v>0</v>
      </c>
      <c r="O177">
        <v>6</v>
      </c>
    </row>
    <row r="178" spans="1:15" x14ac:dyDescent="0.3">
      <c r="A178">
        <v>177</v>
      </c>
      <c r="B178" t="s">
        <v>312</v>
      </c>
      <c r="C178" t="s">
        <v>313</v>
      </c>
      <c r="D178" t="s">
        <v>307</v>
      </c>
      <c r="E178" s="1">
        <v>43175</v>
      </c>
      <c r="F178" s="2">
        <f ca="1">DATEDIF(EmpTable[[#This Row],[Start Date]],TODAY(),"Y")</f>
        <v>8</v>
      </c>
      <c r="G178" t="s">
        <v>28</v>
      </c>
      <c r="H178" t="s">
        <v>18</v>
      </c>
      <c r="I178" t="s">
        <v>42</v>
      </c>
      <c r="J178">
        <v>1696</v>
      </c>
      <c r="K178">
        <v>20352</v>
      </c>
      <c r="L178">
        <v>5</v>
      </c>
      <c r="M178">
        <v>0</v>
      </c>
      <c r="N178">
        <v>0</v>
      </c>
      <c r="O178">
        <v>5</v>
      </c>
    </row>
    <row r="179" spans="1:15" x14ac:dyDescent="0.3">
      <c r="A179">
        <v>178</v>
      </c>
      <c r="B179" t="s">
        <v>121</v>
      </c>
      <c r="C179" t="s">
        <v>314</v>
      </c>
      <c r="D179" t="s">
        <v>307</v>
      </c>
      <c r="E179" s="1">
        <v>43458</v>
      </c>
      <c r="F179" s="2">
        <f ca="1">DATEDIF(EmpTable[[#This Row],[Start Date]],TODAY(),"Y")</f>
        <v>7</v>
      </c>
      <c r="G179" t="s">
        <v>53</v>
      </c>
      <c r="H179" t="s">
        <v>18</v>
      </c>
      <c r="I179" t="s">
        <v>60</v>
      </c>
      <c r="J179">
        <v>2913</v>
      </c>
      <c r="K179">
        <v>34956</v>
      </c>
      <c r="L179">
        <v>4.5</v>
      </c>
      <c r="M179">
        <v>0</v>
      </c>
      <c r="N179">
        <v>0</v>
      </c>
      <c r="O179">
        <v>3</v>
      </c>
    </row>
    <row r="180" spans="1:15" x14ac:dyDescent="0.3">
      <c r="A180">
        <v>179</v>
      </c>
      <c r="B180" t="s">
        <v>315</v>
      </c>
      <c r="C180" t="s">
        <v>316</v>
      </c>
      <c r="D180" t="s">
        <v>307</v>
      </c>
      <c r="E180" s="1">
        <v>43897</v>
      </c>
      <c r="F180" s="2">
        <f ca="1">DATEDIF(EmpTable[[#This Row],[Start Date]],TODAY(),"Y")</f>
        <v>6</v>
      </c>
      <c r="G180" t="s">
        <v>77</v>
      </c>
      <c r="H180" t="s">
        <v>294</v>
      </c>
      <c r="I180" t="s">
        <v>60</v>
      </c>
      <c r="J180">
        <v>2068</v>
      </c>
      <c r="K180">
        <v>24816</v>
      </c>
      <c r="L180">
        <v>1</v>
      </c>
      <c r="M180">
        <v>0</v>
      </c>
      <c r="N180">
        <v>1</v>
      </c>
      <c r="O180">
        <v>0</v>
      </c>
    </row>
    <row r="181" spans="1:15" x14ac:dyDescent="0.3">
      <c r="A181">
        <v>180</v>
      </c>
      <c r="B181" t="s">
        <v>317</v>
      </c>
      <c r="C181" t="s">
        <v>318</v>
      </c>
      <c r="D181" t="s">
        <v>32</v>
      </c>
      <c r="E181" s="1">
        <v>43398</v>
      </c>
      <c r="F181" s="2">
        <f ca="1">DATEDIF(EmpTable[[#This Row],[Start Date]],TODAY(),"Y")</f>
        <v>7</v>
      </c>
      <c r="G181" t="s">
        <v>163</v>
      </c>
      <c r="H181" t="s">
        <v>29</v>
      </c>
      <c r="I181" t="s">
        <v>36</v>
      </c>
      <c r="J181">
        <v>1430</v>
      </c>
      <c r="K181">
        <v>17160</v>
      </c>
      <c r="L181">
        <v>3</v>
      </c>
      <c r="M181">
        <v>6</v>
      </c>
      <c r="N181">
        <v>0</v>
      </c>
      <c r="O181">
        <v>0</v>
      </c>
    </row>
    <row r="182" spans="1:15" x14ac:dyDescent="0.3">
      <c r="A182">
        <v>181</v>
      </c>
      <c r="B182" t="s">
        <v>33</v>
      </c>
      <c r="C182" t="s">
        <v>319</v>
      </c>
      <c r="D182" t="s">
        <v>32</v>
      </c>
      <c r="E182" s="1">
        <v>43250</v>
      </c>
      <c r="F182" s="2">
        <f ca="1">DATEDIF(EmpTable[[#This Row],[Start Date]],TODAY(),"Y")</f>
        <v>8</v>
      </c>
      <c r="G182" t="s">
        <v>41</v>
      </c>
      <c r="H182" t="s">
        <v>22</v>
      </c>
      <c r="I182" t="s">
        <v>36</v>
      </c>
      <c r="J182">
        <v>3138</v>
      </c>
      <c r="K182">
        <v>37656</v>
      </c>
      <c r="L182">
        <v>1</v>
      </c>
      <c r="M182">
        <v>0</v>
      </c>
      <c r="N182">
        <v>5</v>
      </c>
      <c r="O182">
        <v>9</v>
      </c>
    </row>
    <row r="183" spans="1:15" x14ac:dyDescent="0.3">
      <c r="A183">
        <v>182</v>
      </c>
      <c r="B183" t="s">
        <v>320</v>
      </c>
      <c r="C183" t="s">
        <v>321</v>
      </c>
      <c r="D183" t="s">
        <v>32</v>
      </c>
      <c r="E183" s="1">
        <v>44169</v>
      </c>
      <c r="F183" s="2">
        <f ca="1">DATEDIF(EmpTable[[#This Row],[Start Date]],TODAY(),"Y")</f>
        <v>5</v>
      </c>
      <c r="G183" t="s">
        <v>28</v>
      </c>
      <c r="H183" t="s">
        <v>18</v>
      </c>
      <c r="I183" t="s">
        <v>42</v>
      </c>
      <c r="J183">
        <v>2051</v>
      </c>
      <c r="K183">
        <v>24612</v>
      </c>
      <c r="L183">
        <v>3</v>
      </c>
      <c r="M183">
        <v>0</v>
      </c>
      <c r="N183">
        <v>0</v>
      </c>
      <c r="O183">
        <v>2</v>
      </c>
    </row>
    <row r="184" spans="1:15" x14ac:dyDescent="0.3">
      <c r="A184">
        <v>183</v>
      </c>
      <c r="B184" t="s">
        <v>322</v>
      </c>
      <c r="C184" t="s">
        <v>323</v>
      </c>
      <c r="D184" t="s">
        <v>307</v>
      </c>
      <c r="E184" s="1">
        <v>43351</v>
      </c>
      <c r="F184" s="2">
        <f ca="1">DATEDIF(EmpTable[[#This Row],[Start Date]],TODAY(),"Y")</f>
        <v>7</v>
      </c>
      <c r="G184" t="s">
        <v>53</v>
      </c>
      <c r="H184" t="s">
        <v>18</v>
      </c>
      <c r="I184" t="s">
        <v>36</v>
      </c>
      <c r="J184">
        <v>2986</v>
      </c>
      <c r="K184">
        <v>35832</v>
      </c>
      <c r="L184">
        <v>1</v>
      </c>
      <c r="M184">
        <v>3</v>
      </c>
      <c r="N184">
        <v>0</v>
      </c>
      <c r="O184">
        <v>8</v>
      </c>
    </row>
    <row r="185" spans="1:15" x14ac:dyDescent="0.3">
      <c r="A185">
        <v>184</v>
      </c>
      <c r="B185" t="s">
        <v>324</v>
      </c>
      <c r="C185" t="s">
        <v>325</v>
      </c>
      <c r="D185" t="s">
        <v>32</v>
      </c>
      <c r="E185" s="1">
        <v>43524</v>
      </c>
      <c r="F185" s="2">
        <f ca="1">DATEDIF(EmpTable[[#This Row],[Start Date]],TODAY(),"Y")</f>
        <v>7</v>
      </c>
      <c r="G185" t="s">
        <v>28</v>
      </c>
      <c r="H185" t="s">
        <v>48</v>
      </c>
      <c r="I185" t="s">
        <v>42</v>
      </c>
      <c r="J185">
        <v>2790</v>
      </c>
      <c r="K185">
        <v>33480</v>
      </c>
      <c r="L185">
        <v>5</v>
      </c>
      <c r="M185">
        <v>6</v>
      </c>
      <c r="N185">
        <v>0</v>
      </c>
      <c r="O185">
        <v>3</v>
      </c>
    </row>
    <row r="186" spans="1:15" x14ac:dyDescent="0.3">
      <c r="A186">
        <v>185</v>
      </c>
      <c r="B186" t="s">
        <v>197</v>
      </c>
      <c r="C186" t="s">
        <v>326</v>
      </c>
      <c r="D186" t="s">
        <v>32</v>
      </c>
      <c r="E186" s="1">
        <v>44182</v>
      </c>
      <c r="F186" s="2">
        <f ca="1">DATEDIF(EmpTable[[#This Row],[Start Date]],TODAY(),"Y")</f>
        <v>5</v>
      </c>
      <c r="G186" t="s">
        <v>53</v>
      </c>
      <c r="H186" t="s">
        <v>18</v>
      </c>
      <c r="I186" t="s">
        <v>42</v>
      </c>
      <c r="J186">
        <v>1075</v>
      </c>
      <c r="K186">
        <v>12900</v>
      </c>
      <c r="L186">
        <v>4.5</v>
      </c>
      <c r="M186">
        <v>6</v>
      </c>
      <c r="N186">
        <v>0</v>
      </c>
      <c r="O186">
        <v>7</v>
      </c>
    </row>
    <row r="187" spans="1:15" x14ac:dyDescent="0.3">
      <c r="A187">
        <v>186</v>
      </c>
      <c r="B187" t="s">
        <v>327</v>
      </c>
      <c r="C187" t="s">
        <v>328</v>
      </c>
      <c r="D187" t="s">
        <v>32</v>
      </c>
      <c r="E187" s="1">
        <v>43592</v>
      </c>
      <c r="F187" s="2">
        <f ca="1">DATEDIF(EmpTable[[#This Row],[Start Date]],TODAY(),"Y")</f>
        <v>7</v>
      </c>
      <c r="G187" t="s">
        <v>39</v>
      </c>
      <c r="H187" t="s">
        <v>48</v>
      </c>
      <c r="I187" t="s">
        <v>42</v>
      </c>
      <c r="J187">
        <v>2009</v>
      </c>
      <c r="K187">
        <v>24108</v>
      </c>
      <c r="L187">
        <v>1</v>
      </c>
      <c r="M187">
        <v>5</v>
      </c>
      <c r="N187">
        <v>0</v>
      </c>
      <c r="O187">
        <v>0</v>
      </c>
    </row>
    <row r="188" spans="1:15" x14ac:dyDescent="0.3">
      <c r="A188">
        <v>187</v>
      </c>
      <c r="B188" t="s">
        <v>33</v>
      </c>
      <c r="C188" t="s">
        <v>329</v>
      </c>
      <c r="D188" t="s">
        <v>32</v>
      </c>
      <c r="E188" s="1">
        <v>43315</v>
      </c>
      <c r="F188" s="2">
        <f ca="1">DATEDIF(EmpTable[[#This Row],[Start Date]],TODAY(),"Y")</f>
        <v>8</v>
      </c>
      <c r="G188" t="s">
        <v>76</v>
      </c>
      <c r="H188" t="s">
        <v>18</v>
      </c>
      <c r="I188" t="s">
        <v>42</v>
      </c>
      <c r="J188">
        <v>3254</v>
      </c>
      <c r="K188">
        <v>39048</v>
      </c>
      <c r="L188">
        <v>3</v>
      </c>
      <c r="M188">
        <v>4</v>
      </c>
      <c r="N188">
        <v>6</v>
      </c>
      <c r="O188">
        <v>5</v>
      </c>
    </row>
    <row r="189" spans="1:15" x14ac:dyDescent="0.3">
      <c r="A189">
        <v>188</v>
      </c>
      <c r="B189" t="s">
        <v>330</v>
      </c>
      <c r="C189" t="s">
        <v>142</v>
      </c>
      <c r="D189" t="s">
        <v>307</v>
      </c>
      <c r="E189" s="1">
        <v>43755</v>
      </c>
      <c r="F189" s="2">
        <f ca="1">DATEDIF(EmpTable[[#This Row],[Start Date]],TODAY(),"Y")</f>
        <v>6</v>
      </c>
      <c r="G189" t="s">
        <v>118</v>
      </c>
      <c r="H189" t="s">
        <v>29</v>
      </c>
      <c r="I189" t="s">
        <v>42</v>
      </c>
      <c r="J189">
        <v>2367</v>
      </c>
      <c r="K189">
        <v>28404</v>
      </c>
      <c r="L189">
        <v>3</v>
      </c>
      <c r="M189">
        <v>0</v>
      </c>
      <c r="N189">
        <v>0</v>
      </c>
      <c r="O189">
        <v>1</v>
      </c>
    </row>
    <row r="190" spans="1:15" x14ac:dyDescent="0.3">
      <c r="A190">
        <v>189</v>
      </c>
      <c r="B190" t="s">
        <v>33</v>
      </c>
      <c r="C190" t="s">
        <v>167</v>
      </c>
      <c r="D190" t="s">
        <v>32</v>
      </c>
      <c r="E190" s="1">
        <v>43133</v>
      </c>
      <c r="F190" s="2">
        <f ca="1">DATEDIF(EmpTable[[#This Row],[Start Date]],TODAY(),"Y")</f>
        <v>8</v>
      </c>
      <c r="G190" t="s">
        <v>28</v>
      </c>
      <c r="H190" t="s">
        <v>29</v>
      </c>
      <c r="I190" t="s">
        <v>42</v>
      </c>
      <c r="J190">
        <v>3158</v>
      </c>
      <c r="K190">
        <v>37896</v>
      </c>
      <c r="L190">
        <v>3</v>
      </c>
      <c r="M190">
        <v>2</v>
      </c>
      <c r="N190">
        <v>5</v>
      </c>
      <c r="O190">
        <v>10</v>
      </c>
    </row>
    <row r="191" spans="1:15" x14ac:dyDescent="0.3">
      <c r="A191">
        <v>190</v>
      </c>
      <c r="B191" t="s">
        <v>33</v>
      </c>
      <c r="C191" t="s">
        <v>331</v>
      </c>
      <c r="D191" t="s">
        <v>32</v>
      </c>
      <c r="E191" s="1">
        <v>43826</v>
      </c>
      <c r="F191" s="2">
        <f ca="1">DATEDIF(EmpTable[[#This Row],[Start Date]],TODAY(),"Y")</f>
        <v>6</v>
      </c>
      <c r="G191" t="s">
        <v>28</v>
      </c>
      <c r="H191" t="s">
        <v>29</v>
      </c>
      <c r="I191" t="s">
        <v>42</v>
      </c>
      <c r="J191">
        <v>1980</v>
      </c>
      <c r="K191">
        <v>23760</v>
      </c>
      <c r="L191">
        <v>2</v>
      </c>
      <c r="M191">
        <v>0</v>
      </c>
      <c r="N191">
        <v>0</v>
      </c>
      <c r="O191">
        <v>2</v>
      </c>
    </row>
    <row r="192" spans="1:15" x14ac:dyDescent="0.3">
      <c r="A192">
        <v>191</v>
      </c>
      <c r="B192" t="s">
        <v>20</v>
      </c>
      <c r="C192" t="s">
        <v>231</v>
      </c>
      <c r="D192" t="s">
        <v>32</v>
      </c>
      <c r="E192" s="1">
        <v>43562</v>
      </c>
      <c r="F192" s="2">
        <f ca="1">DATEDIF(EmpTable[[#This Row],[Start Date]],TODAY(),"Y")</f>
        <v>7</v>
      </c>
      <c r="G192" t="s">
        <v>41</v>
      </c>
      <c r="H192" t="s">
        <v>18</v>
      </c>
      <c r="I192" t="s">
        <v>42</v>
      </c>
      <c r="J192">
        <v>2049</v>
      </c>
      <c r="K192">
        <v>24588</v>
      </c>
      <c r="L192">
        <v>3</v>
      </c>
      <c r="M192">
        <v>6</v>
      </c>
      <c r="N192">
        <v>0</v>
      </c>
      <c r="O192">
        <v>23</v>
      </c>
    </row>
    <row r="193" spans="1:15" x14ac:dyDescent="0.3">
      <c r="A193">
        <v>192</v>
      </c>
      <c r="B193" t="s">
        <v>332</v>
      </c>
      <c r="C193" t="s">
        <v>333</v>
      </c>
      <c r="D193" t="s">
        <v>307</v>
      </c>
      <c r="E193" s="1">
        <v>43978</v>
      </c>
      <c r="F193" s="2">
        <f ca="1">DATEDIF(EmpTable[[#This Row],[Start Date]],TODAY(),"Y")</f>
        <v>6</v>
      </c>
      <c r="G193" t="s">
        <v>77</v>
      </c>
      <c r="H193" t="s">
        <v>18</v>
      </c>
      <c r="I193" t="s">
        <v>36</v>
      </c>
      <c r="J193">
        <v>2727</v>
      </c>
      <c r="K193">
        <v>32724</v>
      </c>
      <c r="L193">
        <v>2</v>
      </c>
      <c r="M193">
        <v>0</v>
      </c>
      <c r="N193">
        <v>0</v>
      </c>
      <c r="O193">
        <v>8</v>
      </c>
    </row>
    <row r="194" spans="1:15" x14ac:dyDescent="0.3">
      <c r="A194">
        <v>193</v>
      </c>
      <c r="B194" t="s">
        <v>334</v>
      </c>
      <c r="C194" t="s">
        <v>335</v>
      </c>
      <c r="D194" t="s">
        <v>307</v>
      </c>
      <c r="E194" s="1">
        <v>43806</v>
      </c>
      <c r="F194" s="2">
        <f ca="1">DATEDIF(EmpTable[[#This Row],[Start Date]],TODAY(),"Y")</f>
        <v>6</v>
      </c>
      <c r="G194" t="s">
        <v>28</v>
      </c>
      <c r="H194" t="s">
        <v>29</v>
      </c>
      <c r="I194" t="s">
        <v>60</v>
      </c>
      <c r="J194">
        <v>974</v>
      </c>
      <c r="K194">
        <v>11688</v>
      </c>
      <c r="L194">
        <v>5</v>
      </c>
      <c r="M194">
        <v>0</v>
      </c>
      <c r="N194">
        <v>0</v>
      </c>
      <c r="O194">
        <v>9</v>
      </c>
    </row>
    <row r="195" spans="1:15" x14ac:dyDescent="0.3">
      <c r="A195">
        <v>194</v>
      </c>
      <c r="B195" t="s">
        <v>336</v>
      </c>
      <c r="C195" t="s">
        <v>337</v>
      </c>
      <c r="D195" t="s">
        <v>32</v>
      </c>
      <c r="E195" s="1">
        <v>43775</v>
      </c>
      <c r="F195" s="2">
        <f ca="1">DATEDIF(EmpTable[[#This Row],[Start Date]],TODAY(),"Y")</f>
        <v>6</v>
      </c>
      <c r="G195" t="s">
        <v>35</v>
      </c>
      <c r="H195" t="s">
        <v>29</v>
      </c>
      <c r="I195" t="s">
        <v>36</v>
      </c>
      <c r="J195">
        <v>992</v>
      </c>
      <c r="K195">
        <v>11904</v>
      </c>
      <c r="L195">
        <v>5</v>
      </c>
      <c r="M195">
        <v>0</v>
      </c>
      <c r="N195">
        <v>0</v>
      </c>
      <c r="O195">
        <v>3</v>
      </c>
    </row>
    <row r="196" spans="1:15" x14ac:dyDescent="0.3">
      <c r="A196">
        <v>195</v>
      </c>
      <c r="B196" t="s">
        <v>338</v>
      </c>
      <c r="C196" t="s">
        <v>339</v>
      </c>
      <c r="D196" t="s">
        <v>307</v>
      </c>
      <c r="E196" s="1">
        <v>43329</v>
      </c>
      <c r="F196" s="2">
        <f ca="1">DATEDIF(EmpTable[[#This Row],[Start Date]],TODAY(),"Y")</f>
        <v>8</v>
      </c>
      <c r="G196" t="s">
        <v>41</v>
      </c>
      <c r="H196" t="s">
        <v>18</v>
      </c>
      <c r="I196" t="s">
        <v>19</v>
      </c>
      <c r="J196">
        <v>2730</v>
      </c>
      <c r="K196">
        <v>32760</v>
      </c>
      <c r="L196">
        <v>1</v>
      </c>
      <c r="M196">
        <v>4</v>
      </c>
      <c r="N196">
        <v>6</v>
      </c>
      <c r="O196">
        <v>9</v>
      </c>
    </row>
    <row r="197" spans="1:15" x14ac:dyDescent="0.3">
      <c r="A197">
        <v>196</v>
      </c>
      <c r="B197" t="s">
        <v>89</v>
      </c>
      <c r="C197" t="s">
        <v>340</v>
      </c>
      <c r="D197" t="s">
        <v>307</v>
      </c>
      <c r="E197" s="1">
        <v>42387</v>
      </c>
      <c r="F197" s="2">
        <f ca="1">DATEDIF(EmpTable[[#This Row],[Start Date]],TODAY(),"Y")</f>
        <v>10</v>
      </c>
      <c r="G197" t="s">
        <v>53</v>
      </c>
      <c r="H197" t="s">
        <v>18</v>
      </c>
      <c r="I197" t="s">
        <v>19</v>
      </c>
      <c r="J197">
        <v>2804</v>
      </c>
      <c r="K197">
        <v>33648</v>
      </c>
      <c r="L197">
        <v>4.5</v>
      </c>
      <c r="M197">
        <v>0</v>
      </c>
      <c r="N197">
        <v>0</v>
      </c>
      <c r="O197">
        <v>4</v>
      </c>
    </row>
    <row r="198" spans="1:15" x14ac:dyDescent="0.3">
      <c r="A198">
        <v>197</v>
      </c>
      <c r="B198" t="s">
        <v>30</v>
      </c>
      <c r="C198" t="s">
        <v>341</v>
      </c>
      <c r="D198" t="s">
        <v>32</v>
      </c>
      <c r="E198" s="1">
        <v>43558</v>
      </c>
      <c r="F198" s="2">
        <f ca="1">DATEDIF(EmpTable[[#This Row],[Start Date]],TODAY(),"Y")</f>
        <v>7</v>
      </c>
      <c r="G198" t="s">
        <v>17</v>
      </c>
      <c r="H198" t="s">
        <v>18</v>
      </c>
      <c r="I198" t="s">
        <v>42</v>
      </c>
      <c r="J198">
        <v>1467</v>
      </c>
      <c r="K198">
        <v>17604</v>
      </c>
      <c r="L198">
        <v>5</v>
      </c>
      <c r="M198">
        <v>6</v>
      </c>
      <c r="N198">
        <v>0</v>
      </c>
      <c r="O198">
        <v>0</v>
      </c>
    </row>
    <row r="199" spans="1:15" x14ac:dyDescent="0.3">
      <c r="A199">
        <v>198</v>
      </c>
      <c r="B199" t="s">
        <v>146</v>
      </c>
      <c r="C199" t="s">
        <v>221</v>
      </c>
      <c r="D199" t="s">
        <v>32</v>
      </c>
      <c r="E199" s="1">
        <v>44141</v>
      </c>
      <c r="F199" s="2">
        <f ca="1">DATEDIF(EmpTable[[#This Row],[Start Date]],TODAY(),"Y")</f>
        <v>5</v>
      </c>
      <c r="G199" t="s">
        <v>25</v>
      </c>
      <c r="H199" t="s">
        <v>294</v>
      </c>
      <c r="I199" t="s">
        <v>19</v>
      </c>
      <c r="J199">
        <v>997</v>
      </c>
      <c r="K199">
        <v>11964</v>
      </c>
      <c r="L199">
        <v>5</v>
      </c>
      <c r="M199">
        <v>1</v>
      </c>
      <c r="N199">
        <v>0</v>
      </c>
      <c r="O199">
        <v>68</v>
      </c>
    </row>
    <row r="200" spans="1:15" x14ac:dyDescent="0.3">
      <c r="A200">
        <v>199</v>
      </c>
      <c r="B200" t="s">
        <v>33</v>
      </c>
      <c r="C200" t="s">
        <v>342</v>
      </c>
      <c r="D200" t="s">
        <v>32</v>
      </c>
      <c r="E200" s="1">
        <v>43705</v>
      </c>
      <c r="F200" s="2">
        <f ca="1">DATEDIF(EmpTable[[#This Row],[Start Date]],TODAY(),"Y")</f>
        <v>7</v>
      </c>
      <c r="G200" t="s">
        <v>41</v>
      </c>
      <c r="H200" t="s">
        <v>22</v>
      </c>
      <c r="I200" t="s">
        <v>19</v>
      </c>
      <c r="J200">
        <v>1859</v>
      </c>
      <c r="K200">
        <v>22308</v>
      </c>
      <c r="L200">
        <v>5</v>
      </c>
      <c r="M200">
        <v>5</v>
      </c>
      <c r="N200">
        <v>0</v>
      </c>
      <c r="O200">
        <v>1</v>
      </c>
    </row>
    <row r="201" spans="1:15" x14ac:dyDescent="0.3">
      <c r="A201">
        <v>200</v>
      </c>
      <c r="B201" t="s">
        <v>186</v>
      </c>
      <c r="C201" t="s">
        <v>343</v>
      </c>
      <c r="D201" t="s">
        <v>32</v>
      </c>
      <c r="E201" s="1">
        <v>43711</v>
      </c>
      <c r="F201" s="2">
        <f ca="1">DATEDIF(EmpTable[[#This Row],[Start Date]],TODAY(),"Y")</f>
        <v>7</v>
      </c>
      <c r="G201" t="s">
        <v>77</v>
      </c>
      <c r="H201" t="s">
        <v>18</v>
      </c>
      <c r="I201" t="s">
        <v>36</v>
      </c>
      <c r="J201">
        <v>1231</v>
      </c>
      <c r="K201">
        <v>14772</v>
      </c>
      <c r="L201">
        <v>1</v>
      </c>
      <c r="M201">
        <v>1</v>
      </c>
      <c r="N201">
        <v>5</v>
      </c>
      <c r="O201">
        <v>7</v>
      </c>
    </row>
    <row r="202" spans="1:15" x14ac:dyDescent="0.3">
      <c r="A202">
        <v>201</v>
      </c>
      <c r="B202" t="s">
        <v>344</v>
      </c>
      <c r="C202" t="s">
        <v>345</v>
      </c>
      <c r="D202" t="s">
        <v>32</v>
      </c>
      <c r="E202" s="1">
        <v>43665</v>
      </c>
      <c r="F202" s="2">
        <f ca="1">DATEDIF(EmpTable[[#This Row],[Start Date]],TODAY(),"Y")</f>
        <v>7</v>
      </c>
      <c r="G202" t="s">
        <v>28</v>
      </c>
      <c r="H202" t="s">
        <v>18</v>
      </c>
      <c r="I202" t="s">
        <v>42</v>
      </c>
      <c r="J202">
        <v>719</v>
      </c>
      <c r="K202">
        <v>8628</v>
      </c>
      <c r="L202">
        <v>5</v>
      </c>
      <c r="M202">
        <v>0</v>
      </c>
      <c r="N202">
        <v>0</v>
      </c>
      <c r="O202">
        <v>8</v>
      </c>
    </row>
    <row r="203" spans="1:15" x14ac:dyDescent="0.3">
      <c r="A203">
        <v>202</v>
      </c>
      <c r="B203" t="s">
        <v>346</v>
      </c>
      <c r="C203" t="s">
        <v>347</v>
      </c>
      <c r="D203" t="s">
        <v>32</v>
      </c>
      <c r="E203" s="1">
        <v>43982</v>
      </c>
      <c r="F203" s="2">
        <f ca="1">DATEDIF(EmpTable[[#This Row],[Start Date]],TODAY(),"Y")</f>
        <v>6</v>
      </c>
      <c r="G203" t="s">
        <v>93</v>
      </c>
      <c r="H203" t="s">
        <v>29</v>
      </c>
      <c r="I203" t="s">
        <v>42</v>
      </c>
      <c r="J203">
        <v>2186</v>
      </c>
      <c r="K203">
        <v>26232</v>
      </c>
      <c r="L203">
        <v>1</v>
      </c>
      <c r="M203">
        <v>2</v>
      </c>
      <c r="N203">
        <v>0</v>
      </c>
      <c r="O203">
        <v>10</v>
      </c>
    </row>
    <row r="204" spans="1:15" x14ac:dyDescent="0.3">
      <c r="A204">
        <v>203</v>
      </c>
      <c r="B204" t="s">
        <v>348</v>
      </c>
      <c r="C204" t="s">
        <v>349</v>
      </c>
      <c r="D204" t="s">
        <v>32</v>
      </c>
      <c r="E204" s="1">
        <v>43603</v>
      </c>
      <c r="F204" s="2">
        <f ca="1">DATEDIF(EmpTable[[#This Row],[Start Date]],TODAY(),"Y")</f>
        <v>7</v>
      </c>
      <c r="G204" t="s">
        <v>88</v>
      </c>
      <c r="H204" t="s">
        <v>18</v>
      </c>
      <c r="I204" t="s">
        <v>19</v>
      </c>
      <c r="J204">
        <v>1605</v>
      </c>
      <c r="K204">
        <v>19260</v>
      </c>
      <c r="L204">
        <v>4.5</v>
      </c>
      <c r="M204">
        <v>5</v>
      </c>
      <c r="N204">
        <v>4</v>
      </c>
      <c r="O204">
        <v>9</v>
      </c>
    </row>
    <row r="205" spans="1:15" x14ac:dyDescent="0.3">
      <c r="A205">
        <v>204</v>
      </c>
      <c r="B205" t="s">
        <v>49</v>
      </c>
      <c r="C205" t="s">
        <v>350</v>
      </c>
      <c r="D205" t="s">
        <v>32</v>
      </c>
      <c r="E205" s="1">
        <v>43237</v>
      </c>
      <c r="F205" s="2">
        <f ca="1">DATEDIF(EmpTable[[#This Row],[Start Date]],TODAY(),"Y")</f>
        <v>8</v>
      </c>
      <c r="G205" t="s">
        <v>53</v>
      </c>
      <c r="H205" t="s">
        <v>18</v>
      </c>
      <c r="I205" t="s">
        <v>42</v>
      </c>
      <c r="J205">
        <v>2365</v>
      </c>
      <c r="K205">
        <v>28380</v>
      </c>
      <c r="L205">
        <v>1</v>
      </c>
      <c r="M205">
        <v>0</v>
      </c>
      <c r="N205">
        <v>0</v>
      </c>
      <c r="O205">
        <v>73</v>
      </c>
    </row>
    <row r="206" spans="1:15" x14ac:dyDescent="0.3">
      <c r="A206">
        <v>205</v>
      </c>
      <c r="B206" t="s">
        <v>351</v>
      </c>
      <c r="C206" t="s">
        <v>352</v>
      </c>
      <c r="D206" t="s">
        <v>32</v>
      </c>
      <c r="E206" s="1">
        <v>42842</v>
      </c>
      <c r="F206" s="2">
        <f ca="1">DATEDIF(EmpTable[[#This Row],[Start Date]],TODAY(),"Y")</f>
        <v>9</v>
      </c>
      <c r="G206" t="s">
        <v>353</v>
      </c>
      <c r="H206" t="s">
        <v>48</v>
      </c>
      <c r="I206" t="s">
        <v>42</v>
      </c>
      <c r="J206">
        <v>1096</v>
      </c>
      <c r="K206">
        <v>13152</v>
      </c>
      <c r="L206">
        <v>4.5</v>
      </c>
      <c r="M206">
        <v>4</v>
      </c>
      <c r="N206">
        <v>0</v>
      </c>
      <c r="O206">
        <v>8</v>
      </c>
    </row>
    <row r="207" spans="1:15" x14ac:dyDescent="0.3">
      <c r="A207">
        <v>206</v>
      </c>
      <c r="B207" t="s">
        <v>197</v>
      </c>
      <c r="C207" t="s">
        <v>354</v>
      </c>
      <c r="D207" t="s">
        <v>32</v>
      </c>
      <c r="E207" s="1">
        <v>43654</v>
      </c>
      <c r="F207" s="2">
        <f ca="1">DATEDIF(EmpTable[[#This Row],[Start Date]],TODAY(),"Y")</f>
        <v>7</v>
      </c>
      <c r="G207" t="s">
        <v>53</v>
      </c>
      <c r="H207" t="s">
        <v>18</v>
      </c>
      <c r="I207" t="s">
        <v>36</v>
      </c>
      <c r="J207">
        <v>1037</v>
      </c>
      <c r="K207">
        <v>12444</v>
      </c>
      <c r="L207">
        <v>3</v>
      </c>
      <c r="M207">
        <v>6</v>
      </c>
      <c r="N207">
        <v>0</v>
      </c>
      <c r="O207">
        <v>5</v>
      </c>
    </row>
    <row r="208" spans="1:15" x14ac:dyDescent="0.3">
      <c r="A208">
        <v>207</v>
      </c>
      <c r="B208" t="s">
        <v>33</v>
      </c>
      <c r="C208" t="s">
        <v>161</v>
      </c>
      <c r="D208" t="s">
        <v>32</v>
      </c>
      <c r="E208" s="1">
        <v>44168</v>
      </c>
      <c r="F208" s="2">
        <f ca="1">DATEDIF(EmpTable[[#This Row],[Start Date]],TODAY(),"Y")</f>
        <v>5</v>
      </c>
      <c r="G208" t="s">
        <v>53</v>
      </c>
      <c r="H208" t="s">
        <v>48</v>
      </c>
      <c r="I208" t="s">
        <v>19</v>
      </c>
      <c r="J208">
        <v>1757</v>
      </c>
      <c r="K208">
        <v>21084</v>
      </c>
      <c r="L208">
        <v>2</v>
      </c>
      <c r="M208">
        <v>6</v>
      </c>
      <c r="N208">
        <v>0</v>
      </c>
      <c r="O208">
        <v>13</v>
      </c>
    </row>
    <row r="209" spans="1:15" x14ac:dyDescent="0.3">
      <c r="A209">
        <v>208</v>
      </c>
      <c r="B209" t="s">
        <v>355</v>
      </c>
      <c r="C209" t="s">
        <v>356</v>
      </c>
      <c r="D209" t="s">
        <v>307</v>
      </c>
      <c r="E209" s="1">
        <v>44138</v>
      </c>
      <c r="F209" s="2">
        <f ca="1">DATEDIF(EmpTable[[#This Row],[Start Date]],TODAY(),"Y")</f>
        <v>5</v>
      </c>
      <c r="G209" t="s">
        <v>77</v>
      </c>
      <c r="H209" t="s">
        <v>18</v>
      </c>
      <c r="I209" t="s">
        <v>42</v>
      </c>
      <c r="J209">
        <v>3405</v>
      </c>
      <c r="K209">
        <v>40860</v>
      </c>
      <c r="L209">
        <v>5</v>
      </c>
      <c r="M209">
        <v>0</v>
      </c>
      <c r="N209">
        <v>0</v>
      </c>
      <c r="O209">
        <v>1</v>
      </c>
    </row>
    <row r="210" spans="1:15" x14ac:dyDescent="0.3">
      <c r="A210">
        <v>209</v>
      </c>
      <c r="B210" t="s">
        <v>357</v>
      </c>
      <c r="C210" t="s">
        <v>358</v>
      </c>
      <c r="D210" t="s">
        <v>32</v>
      </c>
      <c r="E210" s="1">
        <v>43262</v>
      </c>
      <c r="F210" s="2">
        <f ca="1">DATEDIF(EmpTable[[#This Row],[Start Date]],TODAY(),"Y")</f>
        <v>8</v>
      </c>
      <c r="G210" t="s">
        <v>41</v>
      </c>
      <c r="H210" t="s">
        <v>29</v>
      </c>
      <c r="I210" t="s">
        <v>19</v>
      </c>
      <c r="J210">
        <v>2154</v>
      </c>
      <c r="K210">
        <v>25848</v>
      </c>
      <c r="L210">
        <v>5</v>
      </c>
      <c r="M210">
        <v>0</v>
      </c>
      <c r="N210">
        <v>0</v>
      </c>
      <c r="O210">
        <v>0</v>
      </c>
    </row>
    <row r="211" spans="1:15" x14ac:dyDescent="0.3">
      <c r="A211">
        <v>210</v>
      </c>
      <c r="B211" t="s">
        <v>359</v>
      </c>
      <c r="C211" t="s">
        <v>360</v>
      </c>
      <c r="D211" t="s">
        <v>32</v>
      </c>
      <c r="E211" s="1">
        <v>43508</v>
      </c>
      <c r="F211" s="2">
        <f ca="1">DATEDIF(EmpTable[[#This Row],[Start Date]],TODAY(),"Y")</f>
        <v>7</v>
      </c>
      <c r="G211" t="s">
        <v>58</v>
      </c>
      <c r="H211" t="s">
        <v>18</v>
      </c>
      <c r="I211" t="s">
        <v>42</v>
      </c>
      <c r="J211">
        <v>805</v>
      </c>
      <c r="K211">
        <v>9660</v>
      </c>
      <c r="L211">
        <v>2</v>
      </c>
      <c r="M211">
        <v>0</v>
      </c>
      <c r="N211">
        <v>0</v>
      </c>
      <c r="O211">
        <v>6</v>
      </c>
    </row>
    <row r="212" spans="1:15" x14ac:dyDescent="0.3">
      <c r="A212">
        <v>211</v>
      </c>
      <c r="B212" t="s">
        <v>361</v>
      </c>
      <c r="C212" t="s">
        <v>362</v>
      </c>
      <c r="D212" t="s">
        <v>307</v>
      </c>
      <c r="E212" s="1">
        <v>43376</v>
      </c>
      <c r="F212" s="2">
        <f ca="1">DATEDIF(EmpTable[[#This Row],[Start Date]],TODAY(),"Y")</f>
        <v>7</v>
      </c>
      <c r="G212" t="s">
        <v>200</v>
      </c>
      <c r="H212" t="s">
        <v>18</v>
      </c>
      <c r="I212" t="s">
        <v>42</v>
      </c>
      <c r="J212">
        <v>3093</v>
      </c>
      <c r="K212">
        <v>37116</v>
      </c>
      <c r="L212">
        <v>4.5</v>
      </c>
      <c r="M212">
        <v>0</v>
      </c>
      <c r="N212">
        <v>0</v>
      </c>
      <c r="O212">
        <v>10</v>
      </c>
    </row>
    <row r="213" spans="1:15" x14ac:dyDescent="0.3">
      <c r="A213">
        <v>212</v>
      </c>
      <c r="B213" t="s">
        <v>30</v>
      </c>
      <c r="C213" t="s">
        <v>363</v>
      </c>
      <c r="D213" t="s">
        <v>32</v>
      </c>
      <c r="E213" s="1">
        <v>42957</v>
      </c>
      <c r="F213" s="2">
        <f ca="1">DATEDIF(EmpTable[[#This Row],[Start Date]],TODAY(),"Y")</f>
        <v>9</v>
      </c>
      <c r="G213" t="s">
        <v>118</v>
      </c>
      <c r="H213" t="s">
        <v>22</v>
      </c>
      <c r="I213" t="s">
        <v>19</v>
      </c>
      <c r="J213">
        <v>1039</v>
      </c>
      <c r="K213">
        <v>12468</v>
      </c>
      <c r="L213">
        <v>3</v>
      </c>
      <c r="M213">
        <v>2</v>
      </c>
      <c r="N213">
        <v>0</v>
      </c>
      <c r="O213">
        <v>87</v>
      </c>
    </row>
    <row r="214" spans="1:15" x14ac:dyDescent="0.3">
      <c r="A214">
        <v>213</v>
      </c>
      <c r="B214" t="s">
        <v>364</v>
      </c>
      <c r="C214" t="s">
        <v>365</v>
      </c>
      <c r="D214" t="s">
        <v>32</v>
      </c>
      <c r="E214" s="1">
        <v>43792</v>
      </c>
      <c r="F214" s="2">
        <f ca="1">DATEDIF(EmpTable[[#This Row],[Start Date]],TODAY(),"Y")</f>
        <v>6</v>
      </c>
      <c r="G214" t="s">
        <v>41</v>
      </c>
      <c r="H214" t="s">
        <v>18</v>
      </c>
      <c r="I214" t="s">
        <v>19</v>
      </c>
      <c r="J214">
        <v>1012</v>
      </c>
      <c r="K214">
        <v>12144</v>
      </c>
      <c r="L214">
        <v>3</v>
      </c>
      <c r="M214">
        <v>1</v>
      </c>
      <c r="N214">
        <v>0</v>
      </c>
      <c r="O214">
        <v>7</v>
      </c>
    </row>
    <row r="215" spans="1:15" x14ac:dyDescent="0.3">
      <c r="A215">
        <v>214</v>
      </c>
      <c r="B215" t="s">
        <v>223</v>
      </c>
      <c r="C215" t="s">
        <v>366</v>
      </c>
      <c r="D215" t="s">
        <v>32</v>
      </c>
      <c r="E215" s="1">
        <v>42899</v>
      </c>
      <c r="F215" s="2">
        <f ca="1">DATEDIF(EmpTable[[#This Row],[Start Date]],TODAY(),"Y")</f>
        <v>9</v>
      </c>
      <c r="G215" t="s">
        <v>39</v>
      </c>
      <c r="H215" t="s">
        <v>18</v>
      </c>
      <c r="I215" t="s">
        <v>42</v>
      </c>
      <c r="J215">
        <v>2216</v>
      </c>
      <c r="K215">
        <v>26592</v>
      </c>
      <c r="L215">
        <v>2</v>
      </c>
      <c r="M215">
        <v>0</v>
      </c>
      <c r="N215">
        <v>0</v>
      </c>
      <c r="O215">
        <v>11</v>
      </c>
    </row>
    <row r="216" spans="1:15" x14ac:dyDescent="0.3">
      <c r="A216">
        <v>215</v>
      </c>
      <c r="B216" t="s">
        <v>367</v>
      </c>
      <c r="C216" t="s">
        <v>350</v>
      </c>
      <c r="D216" t="s">
        <v>32</v>
      </c>
      <c r="E216" s="1">
        <v>44163</v>
      </c>
      <c r="F216" s="2">
        <f ca="1">DATEDIF(EmpTable[[#This Row],[Start Date]],TODAY(),"Y")</f>
        <v>5</v>
      </c>
      <c r="G216" t="s">
        <v>77</v>
      </c>
      <c r="H216" t="s">
        <v>18</v>
      </c>
      <c r="I216" t="s">
        <v>60</v>
      </c>
      <c r="J216">
        <v>2020</v>
      </c>
      <c r="K216">
        <v>24240</v>
      </c>
      <c r="L216">
        <v>4.5</v>
      </c>
      <c r="M216">
        <v>0</v>
      </c>
      <c r="N216">
        <v>5</v>
      </c>
      <c r="O216">
        <v>0</v>
      </c>
    </row>
    <row r="217" spans="1:15" x14ac:dyDescent="0.3">
      <c r="A217">
        <v>216</v>
      </c>
      <c r="B217" t="s">
        <v>20</v>
      </c>
      <c r="C217" t="s">
        <v>368</v>
      </c>
      <c r="D217" t="s">
        <v>32</v>
      </c>
      <c r="E217" s="1">
        <v>42680</v>
      </c>
      <c r="F217" s="2">
        <f ca="1">DATEDIF(EmpTable[[#This Row],[Start Date]],TODAY(),"Y")</f>
        <v>9</v>
      </c>
      <c r="G217" t="s">
        <v>35</v>
      </c>
      <c r="H217" t="s">
        <v>29</v>
      </c>
      <c r="I217" t="s">
        <v>36</v>
      </c>
      <c r="J217">
        <v>3309</v>
      </c>
      <c r="K217">
        <v>39708</v>
      </c>
      <c r="L217">
        <v>4.5</v>
      </c>
      <c r="M217">
        <v>1</v>
      </c>
      <c r="N217">
        <v>0</v>
      </c>
      <c r="O217">
        <v>7</v>
      </c>
    </row>
    <row r="218" spans="1:15" x14ac:dyDescent="0.3">
      <c r="A218">
        <v>217</v>
      </c>
      <c r="B218" t="s">
        <v>369</v>
      </c>
      <c r="C218" t="s">
        <v>370</v>
      </c>
      <c r="D218" t="s">
        <v>32</v>
      </c>
      <c r="E218" s="1">
        <v>43956</v>
      </c>
      <c r="F218" s="2">
        <f ca="1">DATEDIF(EmpTable[[#This Row],[Start Date]],TODAY(),"Y")</f>
        <v>6</v>
      </c>
      <c r="G218" t="s">
        <v>41</v>
      </c>
      <c r="H218" t="s">
        <v>29</v>
      </c>
      <c r="I218" t="s">
        <v>36</v>
      </c>
      <c r="J218">
        <v>983</v>
      </c>
      <c r="K218">
        <v>11796</v>
      </c>
      <c r="L218">
        <v>2</v>
      </c>
      <c r="M218">
        <v>6</v>
      </c>
      <c r="N218">
        <v>0</v>
      </c>
      <c r="O218">
        <v>0</v>
      </c>
    </row>
    <row r="219" spans="1:15" x14ac:dyDescent="0.3">
      <c r="A219">
        <v>218</v>
      </c>
      <c r="B219" t="s">
        <v>64</v>
      </c>
      <c r="C219" t="s">
        <v>371</v>
      </c>
      <c r="D219" t="s">
        <v>32</v>
      </c>
      <c r="E219" s="1">
        <v>43184</v>
      </c>
      <c r="F219" s="2">
        <f ca="1">DATEDIF(EmpTable[[#This Row],[Start Date]],TODAY(),"Y")</f>
        <v>8</v>
      </c>
      <c r="G219" t="s">
        <v>28</v>
      </c>
      <c r="H219" t="s">
        <v>18</v>
      </c>
      <c r="I219" t="s">
        <v>42</v>
      </c>
      <c r="J219">
        <v>741</v>
      </c>
      <c r="K219">
        <v>8892</v>
      </c>
      <c r="L219">
        <v>3</v>
      </c>
      <c r="M219">
        <v>0</v>
      </c>
      <c r="N219">
        <v>0</v>
      </c>
      <c r="O219">
        <v>1</v>
      </c>
    </row>
    <row r="220" spans="1:15" x14ac:dyDescent="0.3">
      <c r="A220">
        <v>219</v>
      </c>
      <c r="B220" t="s">
        <v>170</v>
      </c>
      <c r="C220" t="s">
        <v>372</v>
      </c>
      <c r="D220" t="s">
        <v>32</v>
      </c>
      <c r="E220" s="1">
        <v>42626</v>
      </c>
      <c r="F220" s="2">
        <f ca="1">DATEDIF(EmpTable[[#This Row],[Start Date]],TODAY(),"Y")</f>
        <v>9</v>
      </c>
      <c r="G220" t="s">
        <v>41</v>
      </c>
      <c r="H220" t="s">
        <v>29</v>
      </c>
      <c r="I220" t="s">
        <v>42</v>
      </c>
      <c r="J220">
        <v>1171</v>
      </c>
      <c r="K220">
        <v>14052</v>
      </c>
      <c r="L220">
        <v>4.5</v>
      </c>
      <c r="M220">
        <v>0</v>
      </c>
      <c r="N220">
        <v>0</v>
      </c>
      <c r="O220">
        <v>0</v>
      </c>
    </row>
    <row r="221" spans="1:15" x14ac:dyDescent="0.3">
      <c r="A221">
        <v>220</v>
      </c>
      <c r="B221" t="s">
        <v>373</v>
      </c>
      <c r="C221" t="s">
        <v>374</v>
      </c>
      <c r="D221" t="s">
        <v>32</v>
      </c>
      <c r="E221" s="1">
        <v>43817</v>
      </c>
      <c r="F221" s="2">
        <f ca="1">DATEDIF(EmpTable[[#This Row],[Start Date]],TODAY(),"Y")</f>
        <v>6</v>
      </c>
      <c r="G221" t="s">
        <v>77</v>
      </c>
      <c r="H221" t="s">
        <v>18</v>
      </c>
      <c r="I221" t="s">
        <v>36</v>
      </c>
      <c r="J221">
        <v>2512</v>
      </c>
      <c r="K221">
        <v>30144</v>
      </c>
      <c r="L221">
        <v>5</v>
      </c>
      <c r="M221">
        <v>6</v>
      </c>
      <c r="N221">
        <v>0</v>
      </c>
      <c r="O221">
        <v>10</v>
      </c>
    </row>
    <row r="222" spans="1:15" x14ac:dyDescent="0.3">
      <c r="A222">
        <v>221</v>
      </c>
      <c r="B222" t="s">
        <v>375</v>
      </c>
      <c r="C222" t="s">
        <v>376</v>
      </c>
      <c r="D222" t="s">
        <v>307</v>
      </c>
      <c r="E222" s="1">
        <v>43553</v>
      </c>
      <c r="F222" s="2">
        <f ca="1">DATEDIF(EmpTable[[#This Row],[Start Date]],TODAY(),"Y")</f>
        <v>7</v>
      </c>
      <c r="G222" t="s">
        <v>17</v>
      </c>
      <c r="H222" t="s">
        <v>18</v>
      </c>
      <c r="I222" t="s">
        <v>19</v>
      </c>
      <c r="J222">
        <v>1608</v>
      </c>
      <c r="K222">
        <v>19296</v>
      </c>
      <c r="L222">
        <v>1</v>
      </c>
      <c r="M222">
        <v>0</v>
      </c>
      <c r="N222">
        <v>3</v>
      </c>
      <c r="O222">
        <v>4</v>
      </c>
    </row>
    <row r="223" spans="1:15" x14ac:dyDescent="0.3">
      <c r="A223">
        <v>222</v>
      </c>
      <c r="B223" t="s">
        <v>195</v>
      </c>
      <c r="C223" t="s">
        <v>377</v>
      </c>
      <c r="D223" t="s">
        <v>32</v>
      </c>
      <c r="E223" s="1">
        <v>43945</v>
      </c>
      <c r="F223" s="2">
        <f ca="1">DATEDIF(EmpTable[[#This Row],[Start Date]],TODAY(),"Y")</f>
        <v>6</v>
      </c>
      <c r="G223" t="s">
        <v>77</v>
      </c>
      <c r="H223" t="s">
        <v>29</v>
      </c>
      <c r="I223" t="s">
        <v>36</v>
      </c>
      <c r="J223">
        <v>1677</v>
      </c>
      <c r="K223">
        <v>20124</v>
      </c>
      <c r="L223">
        <v>1</v>
      </c>
      <c r="M223">
        <v>0</v>
      </c>
      <c r="N223">
        <v>0</v>
      </c>
      <c r="O223">
        <v>12</v>
      </c>
    </row>
    <row r="224" spans="1:15" x14ac:dyDescent="0.3">
      <c r="A224">
        <v>223</v>
      </c>
      <c r="B224" t="s">
        <v>378</v>
      </c>
      <c r="C224" t="s">
        <v>379</v>
      </c>
      <c r="D224" t="s">
        <v>307</v>
      </c>
      <c r="E224" s="1">
        <v>43215</v>
      </c>
      <c r="F224" s="2">
        <f ca="1">DATEDIF(EmpTable[[#This Row],[Start Date]],TODAY(),"Y")</f>
        <v>8</v>
      </c>
      <c r="G224" t="s">
        <v>77</v>
      </c>
      <c r="H224" t="s">
        <v>18</v>
      </c>
      <c r="I224" t="s">
        <v>19</v>
      </c>
      <c r="J224">
        <v>3414</v>
      </c>
      <c r="K224">
        <v>40968</v>
      </c>
      <c r="L224">
        <v>5</v>
      </c>
      <c r="M224">
        <v>0</v>
      </c>
      <c r="N224">
        <v>0</v>
      </c>
      <c r="O224">
        <v>2</v>
      </c>
    </row>
    <row r="225" spans="1:15" x14ac:dyDescent="0.3">
      <c r="A225">
        <v>224</v>
      </c>
      <c r="B225" t="s">
        <v>380</v>
      </c>
      <c r="C225" t="s">
        <v>381</v>
      </c>
      <c r="D225" t="s">
        <v>32</v>
      </c>
      <c r="E225" s="1">
        <v>43553</v>
      </c>
      <c r="F225" s="2">
        <f ca="1">DATEDIF(EmpTable[[#This Row],[Start Date]],TODAY(),"Y")</f>
        <v>7</v>
      </c>
      <c r="G225" t="s">
        <v>77</v>
      </c>
      <c r="H225" t="s">
        <v>294</v>
      </c>
      <c r="I225" t="s">
        <v>42</v>
      </c>
      <c r="J225">
        <v>1358</v>
      </c>
      <c r="K225">
        <v>16296</v>
      </c>
      <c r="L225">
        <v>5</v>
      </c>
      <c r="M225">
        <v>0</v>
      </c>
      <c r="N225">
        <v>0</v>
      </c>
      <c r="O225">
        <v>10</v>
      </c>
    </row>
    <row r="226" spans="1:15" x14ac:dyDescent="0.3">
      <c r="A226">
        <v>225</v>
      </c>
      <c r="B226" t="s">
        <v>33</v>
      </c>
      <c r="C226" t="s">
        <v>382</v>
      </c>
      <c r="D226" t="s">
        <v>32</v>
      </c>
      <c r="E226" s="1">
        <v>43694</v>
      </c>
      <c r="F226" s="2">
        <f ca="1">DATEDIF(EmpTable[[#This Row],[Start Date]],TODAY(),"Y")</f>
        <v>7</v>
      </c>
      <c r="G226" t="s">
        <v>41</v>
      </c>
      <c r="H226" t="s">
        <v>18</v>
      </c>
      <c r="I226" t="s">
        <v>60</v>
      </c>
      <c r="J226">
        <v>703</v>
      </c>
      <c r="K226">
        <v>8436</v>
      </c>
      <c r="L226">
        <v>4.5</v>
      </c>
      <c r="M226">
        <v>0</v>
      </c>
      <c r="N226">
        <v>0</v>
      </c>
      <c r="O226">
        <v>64</v>
      </c>
    </row>
    <row r="227" spans="1:15" x14ac:dyDescent="0.3">
      <c r="A227">
        <v>226</v>
      </c>
      <c r="B227" t="s">
        <v>383</v>
      </c>
      <c r="C227" t="s">
        <v>384</v>
      </c>
      <c r="D227" t="s">
        <v>307</v>
      </c>
      <c r="E227" s="1">
        <v>43443</v>
      </c>
      <c r="F227" s="2">
        <f ca="1">DATEDIF(EmpTable[[#This Row],[Start Date]],TODAY(),"Y")</f>
        <v>7</v>
      </c>
      <c r="G227" t="s">
        <v>35</v>
      </c>
      <c r="H227" t="s">
        <v>18</v>
      </c>
      <c r="I227" t="s">
        <v>42</v>
      </c>
      <c r="J227">
        <v>2017</v>
      </c>
      <c r="K227">
        <v>24204</v>
      </c>
      <c r="L227">
        <v>2</v>
      </c>
      <c r="M227">
        <v>0</v>
      </c>
      <c r="N227">
        <v>1</v>
      </c>
      <c r="O227">
        <v>8</v>
      </c>
    </row>
    <row r="228" spans="1:15" x14ac:dyDescent="0.3">
      <c r="A228">
        <v>227</v>
      </c>
      <c r="B228" t="s">
        <v>263</v>
      </c>
      <c r="C228" t="s">
        <v>385</v>
      </c>
      <c r="D228" t="s">
        <v>32</v>
      </c>
      <c r="E228" s="1">
        <v>43687</v>
      </c>
      <c r="F228" s="2">
        <f ca="1">DATEDIF(EmpTable[[#This Row],[Start Date]],TODAY(),"Y")</f>
        <v>7</v>
      </c>
      <c r="G228" t="s">
        <v>35</v>
      </c>
      <c r="H228" t="s">
        <v>18</v>
      </c>
      <c r="I228" t="s">
        <v>42</v>
      </c>
      <c r="J228">
        <v>1806</v>
      </c>
      <c r="K228">
        <v>21672</v>
      </c>
      <c r="L228">
        <v>5</v>
      </c>
      <c r="M228">
        <v>0</v>
      </c>
      <c r="N228">
        <v>0</v>
      </c>
      <c r="O228">
        <v>7</v>
      </c>
    </row>
    <row r="229" spans="1:15" x14ac:dyDescent="0.3">
      <c r="A229">
        <v>228</v>
      </c>
      <c r="B229" t="s">
        <v>383</v>
      </c>
      <c r="C229" t="s">
        <v>386</v>
      </c>
      <c r="D229" t="s">
        <v>307</v>
      </c>
      <c r="E229" s="1">
        <v>43663</v>
      </c>
      <c r="F229" s="2">
        <f ca="1">DATEDIF(EmpTable[[#This Row],[Start Date]],TODAY(),"Y")</f>
        <v>7</v>
      </c>
      <c r="G229" t="s">
        <v>118</v>
      </c>
      <c r="H229" t="s">
        <v>18</v>
      </c>
      <c r="I229" t="s">
        <v>36</v>
      </c>
      <c r="J229">
        <v>2421</v>
      </c>
      <c r="K229">
        <v>29052</v>
      </c>
      <c r="L229">
        <v>3</v>
      </c>
      <c r="M229">
        <v>6</v>
      </c>
      <c r="N229">
        <v>0</v>
      </c>
      <c r="O229">
        <v>16</v>
      </c>
    </row>
    <row r="230" spans="1:15" x14ac:dyDescent="0.3">
      <c r="A230">
        <v>229</v>
      </c>
      <c r="B230" t="s">
        <v>186</v>
      </c>
      <c r="C230" t="s">
        <v>33</v>
      </c>
      <c r="D230" t="s">
        <v>32</v>
      </c>
      <c r="E230" s="1">
        <v>43256</v>
      </c>
      <c r="F230" s="2">
        <f ca="1">DATEDIF(EmpTable[[#This Row],[Start Date]],TODAY(),"Y")</f>
        <v>8</v>
      </c>
      <c r="G230" t="s">
        <v>58</v>
      </c>
      <c r="H230" t="s">
        <v>29</v>
      </c>
      <c r="I230" t="s">
        <v>36</v>
      </c>
      <c r="J230">
        <v>1461</v>
      </c>
      <c r="K230">
        <v>17532</v>
      </c>
      <c r="L230">
        <v>5</v>
      </c>
      <c r="M230">
        <v>1</v>
      </c>
      <c r="N230">
        <v>0</v>
      </c>
      <c r="O230">
        <v>7</v>
      </c>
    </row>
    <row r="231" spans="1:15" x14ac:dyDescent="0.3">
      <c r="A231">
        <v>230</v>
      </c>
      <c r="B231" t="s">
        <v>99</v>
      </c>
      <c r="C231" t="s">
        <v>387</v>
      </c>
      <c r="D231" t="s">
        <v>307</v>
      </c>
      <c r="E231" s="1">
        <v>44106</v>
      </c>
      <c r="F231" s="2">
        <f ca="1">DATEDIF(EmpTable[[#This Row],[Start Date]],TODAY(),"Y")</f>
        <v>5</v>
      </c>
      <c r="G231" t="s">
        <v>28</v>
      </c>
      <c r="H231" t="s">
        <v>18</v>
      </c>
      <c r="I231" t="s">
        <v>60</v>
      </c>
      <c r="J231">
        <v>1287</v>
      </c>
      <c r="K231">
        <v>15444</v>
      </c>
      <c r="L231">
        <v>1</v>
      </c>
      <c r="M231">
        <v>0</v>
      </c>
      <c r="N231">
        <v>0</v>
      </c>
      <c r="O231">
        <v>7</v>
      </c>
    </row>
    <row r="232" spans="1:15" x14ac:dyDescent="0.3">
      <c r="A232">
        <v>231</v>
      </c>
      <c r="B232" t="s">
        <v>388</v>
      </c>
      <c r="C232" t="s">
        <v>389</v>
      </c>
      <c r="D232" t="s">
        <v>32</v>
      </c>
      <c r="E232" s="1">
        <v>43244</v>
      </c>
      <c r="F232" s="2">
        <f ca="1">DATEDIF(EmpTable[[#This Row],[Start Date]],TODAY(),"Y")</f>
        <v>8</v>
      </c>
      <c r="G232" t="s">
        <v>28</v>
      </c>
      <c r="H232" t="s">
        <v>18</v>
      </c>
      <c r="I232" t="s">
        <v>42</v>
      </c>
      <c r="J232">
        <v>2756</v>
      </c>
      <c r="K232">
        <v>33072</v>
      </c>
      <c r="L232">
        <v>3</v>
      </c>
      <c r="M232">
        <v>2</v>
      </c>
      <c r="N232">
        <v>0</v>
      </c>
      <c r="O232">
        <v>4</v>
      </c>
    </row>
    <row r="233" spans="1:15" x14ac:dyDescent="0.3">
      <c r="A233">
        <v>232</v>
      </c>
      <c r="B233" t="s">
        <v>390</v>
      </c>
      <c r="C233" t="s">
        <v>391</v>
      </c>
      <c r="D233" t="s">
        <v>32</v>
      </c>
      <c r="E233" s="1">
        <v>43474</v>
      </c>
      <c r="F233" s="2">
        <f ca="1">DATEDIF(EmpTable[[#This Row],[Start Date]],TODAY(),"Y")</f>
        <v>7</v>
      </c>
      <c r="G233" t="s">
        <v>17</v>
      </c>
      <c r="H233" t="s">
        <v>18</v>
      </c>
      <c r="I233" t="s">
        <v>42</v>
      </c>
      <c r="J233">
        <v>2332</v>
      </c>
      <c r="K233">
        <v>27984</v>
      </c>
      <c r="L233">
        <v>5</v>
      </c>
      <c r="M233">
        <v>0</v>
      </c>
      <c r="N233">
        <v>0</v>
      </c>
      <c r="O233">
        <v>2</v>
      </c>
    </row>
    <row r="234" spans="1:15" x14ac:dyDescent="0.3">
      <c r="A234">
        <v>233</v>
      </c>
      <c r="B234" t="s">
        <v>392</v>
      </c>
      <c r="C234" t="s">
        <v>393</v>
      </c>
      <c r="D234" t="s">
        <v>32</v>
      </c>
      <c r="E234" s="1">
        <v>43795</v>
      </c>
      <c r="F234" s="2">
        <f ca="1">DATEDIF(EmpTable[[#This Row],[Start Date]],TODAY(),"Y")</f>
        <v>6</v>
      </c>
      <c r="G234" t="s">
        <v>76</v>
      </c>
      <c r="H234" t="s">
        <v>18</v>
      </c>
      <c r="I234" t="s">
        <v>42</v>
      </c>
      <c r="J234">
        <v>812</v>
      </c>
      <c r="K234">
        <v>9744</v>
      </c>
      <c r="L234">
        <v>3</v>
      </c>
      <c r="M234">
        <v>0</v>
      </c>
      <c r="N234">
        <v>0</v>
      </c>
      <c r="O234">
        <v>10</v>
      </c>
    </row>
    <row r="235" spans="1:15" x14ac:dyDescent="0.3">
      <c r="A235">
        <v>234</v>
      </c>
      <c r="B235" t="s">
        <v>394</v>
      </c>
      <c r="C235" t="s">
        <v>395</v>
      </c>
      <c r="D235" t="s">
        <v>32</v>
      </c>
      <c r="E235" s="1">
        <v>44103</v>
      </c>
      <c r="F235" s="2">
        <f ca="1">DATEDIF(EmpTable[[#This Row],[Start Date]],TODAY(),"Y")</f>
        <v>5</v>
      </c>
      <c r="G235" t="s">
        <v>28</v>
      </c>
      <c r="H235" t="s">
        <v>18</v>
      </c>
      <c r="I235" t="s">
        <v>36</v>
      </c>
      <c r="J235">
        <v>2651</v>
      </c>
      <c r="K235">
        <v>31812</v>
      </c>
      <c r="L235">
        <v>1</v>
      </c>
      <c r="M235">
        <v>0</v>
      </c>
      <c r="N235">
        <v>0</v>
      </c>
      <c r="O235">
        <v>12</v>
      </c>
    </row>
    <row r="236" spans="1:15" x14ac:dyDescent="0.3">
      <c r="A236">
        <v>235</v>
      </c>
      <c r="B236" t="s">
        <v>127</v>
      </c>
      <c r="C236" t="s">
        <v>396</v>
      </c>
      <c r="D236" t="s">
        <v>32</v>
      </c>
      <c r="E236" s="1">
        <v>43547</v>
      </c>
      <c r="F236" s="2">
        <f ca="1">DATEDIF(EmpTable[[#This Row],[Start Date]],TODAY(),"Y")</f>
        <v>7</v>
      </c>
      <c r="G236" t="s">
        <v>39</v>
      </c>
      <c r="H236" t="s">
        <v>29</v>
      </c>
      <c r="I236" t="s">
        <v>19</v>
      </c>
      <c r="J236">
        <v>2331</v>
      </c>
      <c r="K236">
        <v>27972</v>
      </c>
      <c r="L236">
        <v>4.5</v>
      </c>
      <c r="M236">
        <v>0</v>
      </c>
      <c r="N236">
        <v>0</v>
      </c>
      <c r="O236">
        <v>9</v>
      </c>
    </row>
    <row r="237" spans="1:15" x14ac:dyDescent="0.3">
      <c r="A237">
        <v>236</v>
      </c>
      <c r="B237" t="s">
        <v>33</v>
      </c>
      <c r="C237" t="s">
        <v>397</v>
      </c>
      <c r="D237" t="s">
        <v>32</v>
      </c>
      <c r="E237" s="1">
        <v>43826</v>
      </c>
      <c r="F237" s="2">
        <f ca="1">DATEDIF(EmpTable[[#This Row],[Start Date]],TODAY(),"Y")</f>
        <v>6</v>
      </c>
      <c r="G237" t="s">
        <v>39</v>
      </c>
      <c r="H237" t="s">
        <v>22</v>
      </c>
      <c r="I237" t="s">
        <v>36</v>
      </c>
      <c r="J237">
        <v>2162</v>
      </c>
      <c r="K237">
        <v>25944</v>
      </c>
      <c r="L237">
        <v>5</v>
      </c>
      <c r="M237">
        <v>0</v>
      </c>
      <c r="N237">
        <v>0</v>
      </c>
      <c r="O237">
        <v>13</v>
      </c>
    </row>
    <row r="238" spans="1:15" x14ac:dyDescent="0.3">
      <c r="A238">
        <v>237</v>
      </c>
      <c r="B238" t="s">
        <v>398</v>
      </c>
      <c r="C238" t="s">
        <v>399</v>
      </c>
      <c r="D238" t="s">
        <v>32</v>
      </c>
      <c r="E238" s="1">
        <v>43991</v>
      </c>
      <c r="F238" s="2">
        <f ca="1">DATEDIF(EmpTable[[#This Row],[Start Date]],TODAY(),"Y")</f>
        <v>6</v>
      </c>
      <c r="G238" t="s">
        <v>28</v>
      </c>
      <c r="H238" t="s">
        <v>18</v>
      </c>
      <c r="I238" t="s">
        <v>36</v>
      </c>
      <c r="J238">
        <v>1952</v>
      </c>
      <c r="K238">
        <v>23424</v>
      </c>
      <c r="L238">
        <v>3</v>
      </c>
      <c r="M238">
        <v>1</v>
      </c>
      <c r="N238">
        <v>1</v>
      </c>
      <c r="O238">
        <v>34</v>
      </c>
    </row>
    <row r="239" spans="1:15" x14ac:dyDescent="0.3">
      <c r="A239">
        <v>238</v>
      </c>
      <c r="B239" t="s">
        <v>79</v>
      </c>
      <c r="C239" t="s">
        <v>400</v>
      </c>
      <c r="D239" t="s">
        <v>307</v>
      </c>
      <c r="E239" s="1">
        <v>43931</v>
      </c>
      <c r="F239" s="2">
        <f ca="1">DATEDIF(EmpTable[[#This Row],[Start Date]],TODAY(),"Y")</f>
        <v>6</v>
      </c>
      <c r="G239" t="s">
        <v>35</v>
      </c>
      <c r="H239" t="s">
        <v>18</v>
      </c>
      <c r="I239" t="s">
        <v>36</v>
      </c>
      <c r="J239">
        <v>2976</v>
      </c>
      <c r="K239">
        <v>35712</v>
      </c>
      <c r="L239">
        <v>4.5</v>
      </c>
      <c r="M239">
        <v>0</v>
      </c>
      <c r="N239">
        <v>2</v>
      </c>
      <c r="O239">
        <v>6</v>
      </c>
    </row>
    <row r="240" spans="1:15" x14ac:dyDescent="0.3">
      <c r="A240">
        <v>239</v>
      </c>
      <c r="B240" t="s">
        <v>30</v>
      </c>
      <c r="C240" t="s">
        <v>401</v>
      </c>
      <c r="D240" t="s">
        <v>32</v>
      </c>
      <c r="E240" s="1">
        <v>43272</v>
      </c>
      <c r="F240" s="2">
        <f ca="1">DATEDIF(EmpTable[[#This Row],[Start Date]],TODAY(),"Y")</f>
        <v>8</v>
      </c>
      <c r="G240" t="s">
        <v>28</v>
      </c>
      <c r="H240" t="s">
        <v>22</v>
      </c>
      <c r="I240" t="s">
        <v>42</v>
      </c>
      <c r="J240">
        <v>2080</v>
      </c>
      <c r="K240">
        <v>24960</v>
      </c>
      <c r="L240">
        <v>5</v>
      </c>
      <c r="M240">
        <v>0</v>
      </c>
      <c r="N240">
        <v>5</v>
      </c>
      <c r="O240">
        <v>13</v>
      </c>
    </row>
    <row r="241" spans="1:15" x14ac:dyDescent="0.3">
      <c r="A241">
        <v>240</v>
      </c>
      <c r="B241" t="s">
        <v>341</v>
      </c>
      <c r="C241" t="s">
        <v>402</v>
      </c>
      <c r="D241" t="s">
        <v>32</v>
      </c>
      <c r="E241" s="1">
        <v>43431</v>
      </c>
      <c r="F241" s="2">
        <f ca="1">DATEDIF(EmpTable[[#This Row],[Start Date]],TODAY(),"Y")</f>
        <v>7</v>
      </c>
      <c r="G241" t="s">
        <v>58</v>
      </c>
      <c r="H241" t="s">
        <v>18</v>
      </c>
      <c r="I241" t="s">
        <v>42</v>
      </c>
      <c r="J241">
        <v>1668</v>
      </c>
      <c r="K241">
        <v>20016</v>
      </c>
      <c r="L241">
        <v>4.5</v>
      </c>
      <c r="M241">
        <v>0</v>
      </c>
      <c r="N241">
        <v>3</v>
      </c>
      <c r="O241">
        <v>3</v>
      </c>
    </row>
    <row r="242" spans="1:15" x14ac:dyDescent="0.3">
      <c r="A242">
        <v>241</v>
      </c>
      <c r="B242" t="s">
        <v>33</v>
      </c>
      <c r="C242" t="s">
        <v>403</v>
      </c>
      <c r="D242" t="s">
        <v>32</v>
      </c>
      <c r="E242" s="1">
        <v>42556</v>
      </c>
      <c r="F242" s="2">
        <f ca="1">DATEDIF(EmpTable[[#This Row],[Start Date]],TODAY(),"Y")</f>
        <v>10</v>
      </c>
      <c r="G242" t="s">
        <v>58</v>
      </c>
      <c r="H242" t="s">
        <v>18</v>
      </c>
      <c r="I242" t="s">
        <v>42</v>
      </c>
      <c r="J242">
        <v>2234</v>
      </c>
      <c r="K242">
        <v>26808</v>
      </c>
      <c r="L242">
        <v>5</v>
      </c>
      <c r="M242">
        <v>3</v>
      </c>
      <c r="N242">
        <v>0</v>
      </c>
      <c r="O242">
        <v>7</v>
      </c>
    </row>
    <row r="243" spans="1:15" x14ac:dyDescent="0.3">
      <c r="A243">
        <v>242</v>
      </c>
      <c r="B243" t="s">
        <v>404</v>
      </c>
      <c r="C243" t="s">
        <v>405</v>
      </c>
      <c r="D243" t="s">
        <v>32</v>
      </c>
      <c r="E243" s="1">
        <v>43765</v>
      </c>
      <c r="F243" s="2">
        <f ca="1">DATEDIF(EmpTable[[#This Row],[Start Date]],TODAY(),"Y")</f>
        <v>6</v>
      </c>
      <c r="G243" t="s">
        <v>41</v>
      </c>
      <c r="H243" t="s">
        <v>48</v>
      </c>
      <c r="I243" t="s">
        <v>60</v>
      </c>
      <c r="J243">
        <v>2096</v>
      </c>
      <c r="K243">
        <v>25152</v>
      </c>
      <c r="L243">
        <v>3</v>
      </c>
      <c r="M243">
        <v>5</v>
      </c>
      <c r="N243">
        <v>2</v>
      </c>
      <c r="O243">
        <v>0</v>
      </c>
    </row>
    <row r="244" spans="1:15" x14ac:dyDescent="0.3">
      <c r="A244">
        <v>243</v>
      </c>
      <c r="B244" t="s">
        <v>33</v>
      </c>
      <c r="C244" t="s">
        <v>406</v>
      </c>
      <c r="D244" t="s">
        <v>32</v>
      </c>
      <c r="E244" s="1">
        <v>43612</v>
      </c>
      <c r="F244" s="2">
        <f ca="1">DATEDIF(EmpTable[[#This Row],[Start Date]],TODAY(),"Y")</f>
        <v>7</v>
      </c>
      <c r="G244" t="s">
        <v>28</v>
      </c>
      <c r="H244" t="s">
        <v>22</v>
      </c>
      <c r="I244" t="s">
        <v>42</v>
      </c>
      <c r="J244">
        <v>2129</v>
      </c>
      <c r="K244">
        <v>25548</v>
      </c>
      <c r="L244">
        <v>3</v>
      </c>
      <c r="M244">
        <v>1</v>
      </c>
      <c r="N244">
        <v>1</v>
      </c>
      <c r="O244">
        <v>3</v>
      </c>
    </row>
    <row r="245" spans="1:15" x14ac:dyDescent="0.3">
      <c r="A245">
        <v>244</v>
      </c>
      <c r="B245" t="s">
        <v>407</v>
      </c>
      <c r="C245" t="s">
        <v>408</v>
      </c>
      <c r="D245" t="s">
        <v>32</v>
      </c>
      <c r="E245" s="1">
        <v>43508</v>
      </c>
      <c r="F245" s="2">
        <f ca="1">DATEDIF(EmpTable[[#This Row],[Start Date]],TODAY(),"Y")</f>
        <v>7</v>
      </c>
      <c r="G245" t="s">
        <v>28</v>
      </c>
      <c r="H245" t="s">
        <v>22</v>
      </c>
      <c r="I245" t="s">
        <v>42</v>
      </c>
      <c r="J245">
        <v>1429</v>
      </c>
      <c r="K245">
        <v>17148</v>
      </c>
      <c r="L245">
        <v>3</v>
      </c>
      <c r="M245">
        <v>0</v>
      </c>
      <c r="N245">
        <v>5</v>
      </c>
      <c r="O245">
        <v>8</v>
      </c>
    </row>
    <row r="246" spans="1:15" x14ac:dyDescent="0.3">
      <c r="A246">
        <v>245</v>
      </c>
      <c r="B246" t="s">
        <v>33</v>
      </c>
      <c r="C246" t="s">
        <v>409</v>
      </c>
      <c r="D246" t="s">
        <v>32</v>
      </c>
      <c r="E246" s="1">
        <v>44126</v>
      </c>
      <c r="F246" s="2">
        <f ca="1">DATEDIF(EmpTable[[#This Row],[Start Date]],TODAY(),"Y")</f>
        <v>5</v>
      </c>
      <c r="G246" t="s">
        <v>28</v>
      </c>
      <c r="H246" t="s">
        <v>29</v>
      </c>
      <c r="I246" t="s">
        <v>36</v>
      </c>
      <c r="J246">
        <v>1479</v>
      </c>
      <c r="K246">
        <v>17748</v>
      </c>
      <c r="L246">
        <v>3</v>
      </c>
      <c r="M246">
        <v>5</v>
      </c>
      <c r="N246">
        <v>4</v>
      </c>
      <c r="O246">
        <v>8</v>
      </c>
    </row>
    <row r="247" spans="1:15" x14ac:dyDescent="0.3">
      <c r="A247">
        <v>246</v>
      </c>
      <c r="B247" t="s">
        <v>165</v>
      </c>
      <c r="C247" t="s">
        <v>410</v>
      </c>
      <c r="D247" t="s">
        <v>32</v>
      </c>
      <c r="E247" s="1">
        <v>44181</v>
      </c>
      <c r="F247" s="2">
        <f ca="1">DATEDIF(EmpTable[[#This Row],[Start Date]],TODAY(),"Y")</f>
        <v>5</v>
      </c>
      <c r="G247" t="s">
        <v>17</v>
      </c>
      <c r="H247" t="s">
        <v>29</v>
      </c>
      <c r="I247" t="s">
        <v>36</v>
      </c>
      <c r="J247">
        <v>2884</v>
      </c>
      <c r="K247">
        <v>34608</v>
      </c>
      <c r="L247">
        <v>5</v>
      </c>
      <c r="M247">
        <v>1</v>
      </c>
      <c r="N247">
        <v>6</v>
      </c>
      <c r="O247">
        <v>3</v>
      </c>
    </row>
    <row r="248" spans="1:15" x14ac:dyDescent="0.3">
      <c r="A248">
        <v>247</v>
      </c>
      <c r="B248" t="s">
        <v>67</v>
      </c>
      <c r="C248" t="s">
        <v>411</v>
      </c>
      <c r="D248" t="s">
        <v>32</v>
      </c>
      <c r="E248" s="1">
        <v>44167</v>
      </c>
      <c r="F248" s="2">
        <f ca="1">DATEDIF(EmpTable[[#This Row],[Start Date]],TODAY(),"Y")</f>
        <v>5</v>
      </c>
      <c r="G248" t="s">
        <v>76</v>
      </c>
      <c r="H248" t="s">
        <v>48</v>
      </c>
      <c r="I248" t="s">
        <v>42</v>
      </c>
      <c r="J248">
        <v>2947</v>
      </c>
      <c r="K248">
        <v>35364</v>
      </c>
      <c r="L248">
        <v>3</v>
      </c>
      <c r="M248">
        <v>5</v>
      </c>
      <c r="N248">
        <v>0</v>
      </c>
      <c r="O248">
        <v>1</v>
      </c>
    </row>
    <row r="249" spans="1:15" x14ac:dyDescent="0.3">
      <c r="A249">
        <v>248</v>
      </c>
      <c r="B249" t="s">
        <v>263</v>
      </c>
      <c r="C249" t="s">
        <v>412</v>
      </c>
      <c r="D249" t="s">
        <v>32</v>
      </c>
      <c r="E249" s="1">
        <v>43275</v>
      </c>
      <c r="F249" s="2">
        <f ca="1">DATEDIF(EmpTable[[#This Row],[Start Date]],TODAY(),"Y")</f>
        <v>8</v>
      </c>
      <c r="G249" t="s">
        <v>17</v>
      </c>
      <c r="H249" t="s">
        <v>18</v>
      </c>
      <c r="I249" t="s">
        <v>36</v>
      </c>
      <c r="J249">
        <v>1795</v>
      </c>
      <c r="K249">
        <v>21540</v>
      </c>
      <c r="L249">
        <v>1</v>
      </c>
      <c r="M249">
        <v>0</v>
      </c>
      <c r="N249">
        <v>0</v>
      </c>
      <c r="O249">
        <v>4</v>
      </c>
    </row>
    <row r="250" spans="1:15" x14ac:dyDescent="0.3">
      <c r="A250">
        <v>249</v>
      </c>
      <c r="B250" t="s">
        <v>413</v>
      </c>
      <c r="C250" t="s">
        <v>198</v>
      </c>
      <c r="D250" t="s">
        <v>307</v>
      </c>
      <c r="E250" s="1">
        <v>43137</v>
      </c>
      <c r="F250" s="2">
        <f ca="1">DATEDIF(EmpTable[[#This Row],[Start Date]],TODAY(),"Y")</f>
        <v>8</v>
      </c>
      <c r="G250" t="s">
        <v>41</v>
      </c>
      <c r="H250" t="s">
        <v>18</v>
      </c>
      <c r="I250" t="s">
        <v>19</v>
      </c>
      <c r="J250">
        <v>1982</v>
      </c>
      <c r="K250">
        <v>23784</v>
      </c>
      <c r="L250">
        <v>5</v>
      </c>
      <c r="M250">
        <v>1</v>
      </c>
      <c r="N250">
        <v>0</v>
      </c>
      <c r="O250">
        <v>7</v>
      </c>
    </row>
    <row r="251" spans="1:15" x14ac:dyDescent="0.3">
      <c r="A251">
        <v>250</v>
      </c>
      <c r="B251" t="s">
        <v>33</v>
      </c>
      <c r="C251" t="s">
        <v>414</v>
      </c>
      <c r="D251" t="s">
        <v>32</v>
      </c>
      <c r="E251" s="1">
        <v>44162</v>
      </c>
      <c r="F251" s="2">
        <f ca="1">DATEDIF(EmpTable[[#This Row],[Start Date]],TODAY(),"Y")</f>
        <v>5</v>
      </c>
      <c r="G251" t="s">
        <v>41</v>
      </c>
      <c r="H251" t="s">
        <v>18</v>
      </c>
      <c r="I251" t="s">
        <v>60</v>
      </c>
      <c r="J251">
        <v>2543</v>
      </c>
      <c r="K251">
        <v>30516</v>
      </c>
      <c r="L251">
        <v>5</v>
      </c>
      <c r="M251">
        <v>0</v>
      </c>
      <c r="N251">
        <v>0</v>
      </c>
      <c r="O251">
        <v>86</v>
      </c>
    </row>
    <row r="252" spans="1:15" x14ac:dyDescent="0.3">
      <c r="A252">
        <v>251</v>
      </c>
      <c r="B252" t="s">
        <v>415</v>
      </c>
      <c r="C252" t="s">
        <v>416</v>
      </c>
      <c r="D252" t="s">
        <v>307</v>
      </c>
      <c r="E252" s="1">
        <v>43869</v>
      </c>
      <c r="F252" s="2">
        <f ca="1">DATEDIF(EmpTable[[#This Row],[Start Date]],TODAY(),"Y")</f>
        <v>6</v>
      </c>
      <c r="G252" t="s">
        <v>28</v>
      </c>
      <c r="H252" t="s">
        <v>18</v>
      </c>
      <c r="I252" t="s">
        <v>42</v>
      </c>
      <c r="J252">
        <v>2787</v>
      </c>
      <c r="K252">
        <v>33444</v>
      </c>
      <c r="L252">
        <v>3</v>
      </c>
      <c r="M252">
        <v>3</v>
      </c>
      <c r="N252">
        <v>0</v>
      </c>
      <c r="O252">
        <v>12</v>
      </c>
    </row>
    <row r="253" spans="1:15" x14ac:dyDescent="0.3">
      <c r="A253">
        <v>252</v>
      </c>
      <c r="B253" t="s">
        <v>146</v>
      </c>
      <c r="C253" t="s">
        <v>417</v>
      </c>
      <c r="D253" t="s">
        <v>32</v>
      </c>
      <c r="E253" s="1">
        <v>43865</v>
      </c>
      <c r="F253" s="2">
        <f ca="1">DATEDIF(EmpTable[[#This Row],[Start Date]],TODAY(),"Y")</f>
        <v>6</v>
      </c>
      <c r="G253" t="s">
        <v>77</v>
      </c>
      <c r="H253" t="s">
        <v>18</v>
      </c>
      <c r="I253" t="s">
        <v>36</v>
      </c>
      <c r="J253">
        <v>1095</v>
      </c>
      <c r="K253">
        <v>13140</v>
      </c>
      <c r="L253">
        <v>5</v>
      </c>
      <c r="M253">
        <v>6</v>
      </c>
      <c r="N253">
        <v>0</v>
      </c>
      <c r="O253">
        <v>5</v>
      </c>
    </row>
    <row r="254" spans="1:15" x14ac:dyDescent="0.3">
      <c r="A254">
        <v>253</v>
      </c>
      <c r="B254" t="s">
        <v>37</v>
      </c>
      <c r="C254" t="s">
        <v>418</v>
      </c>
      <c r="D254" t="s">
        <v>307</v>
      </c>
      <c r="E254" s="1">
        <v>43936</v>
      </c>
      <c r="F254" s="2">
        <f ca="1">DATEDIF(EmpTable[[#This Row],[Start Date]],TODAY(),"Y")</f>
        <v>6</v>
      </c>
      <c r="G254" t="s">
        <v>28</v>
      </c>
      <c r="H254" t="s">
        <v>22</v>
      </c>
      <c r="I254" t="s">
        <v>42</v>
      </c>
      <c r="J254">
        <v>2009</v>
      </c>
      <c r="K254">
        <v>24108</v>
      </c>
      <c r="L254">
        <v>5</v>
      </c>
      <c r="M254">
        <v>0</v>
      </c>
      <c r="N254">
        <v>0</v>
      </c>
      <c r="O254">
        <v>0</v>
      </c>
    </row>
    <row r="255" spans="1:15" x14ac:dyDescent="0.3">
      <c r="A255">
        <v>254</v>
      </c>
      <c r="B255" t="s">
        <v>419</v>
      </c>
      <c r="C255" t="s">
        <v>420</v>
      </c>
      <c r="D255" t="s">
        <v>307</v>
      </c>
      <c r="E255" s="1">
        <v>42557</v>
      </c>
      <c r="F255" s="2">
        <f ca="1">DATEDIF(EmpTable[[#This Row],[Start Date]],TODAY(),"Y")</f>
        <v>10</v>
      </c>
      <c r="G255" t="s">
        <v>93</v>
      </c>
      <c r="H255" t="s">
        <v>18</v>
      </c>
      <c r="I255" t="s">
        <v>36</v>
      </c>
      <c r="J255">
        <v>1837</v>
      </c>
      <c r="K255">
        <v>22044</v>
      </c>
      <c r="L255">
        <v>3</v>
      </c>
      <c r="M255">
        <v>1</v>
      </c>
      <c r="N255">
        <v>0</v>
      </c>
      <c r="O255">
        <v>2</v>
      </c>
    </row>
    <row r="256" spans="1:15" x14ac:dyDescent="0.3">
      <c r="A256">
        <v>255</v>
      </c>
      <c r="B256" t="s">
        <v>33</v>
      </c>
      <c r="C256" t="s">
        <v>421</v>
      </c>
      <c r="D256" t="s">
        <v>32</v>
      </c>
      <c r="E256" s="1">
        <v>43729</v>
      </c>
      <c r="F256" s="2">
        <f ca="1">DATEDIF(EmpTable[[#This Row],[Start Date]],TODAY(),"Y")</f>
        <v>6</v>
      </c>
      <c r="G256" t="s">
        <v>76</v>
      </c>
      <c r="H256" t="s">
        <v>22</v>
      </c>
      <c r="I256" t="s">
        <v>42</v>
      </c>
      <c r="J256">
        <v>3109</v>
      </c>
      <c r="K256">
        <v>37308</v>
      </c>
      <c r="L256">
        <v>3</v>
      </c>
      <c r="M256">
        <v>1</v>
      </c>
      <c r="N256">
        <v>0</v>
      </c>
      <c r="O256">
        <v>9</v>
      </c>
    </row>
    <row r="257" spans="1:15" x14ac:dyDescent="0.3">
      <c r="A257">
        <v>256</v>
      </c>
      <c r="B257" t="s">
        <v>375</v>
      </c>
      <c r="C257" t="s">
        <v>301</v>
      </c>
      <c r="D257" t="s">
        <v>307</v>
      </c>
      <c r="E257" s="1">
        <v>43982</v>
      </c>
      <c r="F257" s="2">
        <f ca="1">DATEDIF(EmpTable[[#This Row],[Start Date]],TODAY(),"Y")</f>
        <v>6</v>
      </c>
      <c r="G257" t="s">
        <v>28</v>
      </c>
      <c r="H257" t="s">
        <v>18</v>
      </c>
      <c r="I257" t="s">
        <v>42</v>
      </c>
      <c r="J257">
        <v>2832</v>
      </c>
      <c r="K257">
        <v>33984</v>
      </c>
      <c r="L257">
        <v>5</v>
      </c>
      <c r="M257">
        <v>1</v>
      </c>
      <c r="N257">
        <v>0</v>
      </c>
      <c r="O257">
        <v>5</v>
      </c>
    </row>
    <row r="258" spans="1:15" x14ac:dyDescent="0.3">
      <c r="A258">
        <v>257</v>
      </c>
      <c r="B258" t="s">
        <v>422</v>
      </c>
      <c r="C258" t="s">
        <v>423</v>
      </c>
      <c r="D258" t="s">
        <v>32</v>
      </c>
      <c r="E258" s="1">
        <v>43466</v>
      </c>
      <c r="F258" s="2">
        <f ca="1">DATEDIF(EmpTable[[#This Row],[Start Date]],TODAY(),"Y")</f>
        <v>7</v>
      </c>
      <c r="G258" t="s">
        <v>28</v>
      </c>
      <c r="H258" t="s">
        <v>18</v>
      </c>
      <c r="I258" t="s">
        <v>42</v>
      </c>
      <c r="J258">
        <v>2940</v>
      </c>
      <c r="K258">
        <v>35280</v>
      </c>
      <c r="L258">
        <v>1</v>
      </c>
      <c r="M258">
        <v>6</v>
      </c>
      <c r="N258">
        <v>4</v>
      </c>
      <c r="O258">
        <v>7</v>
      </c>
    </row>
    <row r="259" spans="1:15" x14ac:dyDescent="0.3">
      <c r="A259">
        <v>258</v>
      </c>
      <c r="B259" t="s">
        <v>30</v>
      </c>
      <c r="C259" t="s">
        <v>424</v>
      </c>
      <c r="D259" t="s">
        <v>32</v>
      </c>
      <c r="E259" s="1">
        <v>43560</v>
      </c>
      <c r="F259" s="2">
        <f ca="1">DATEDIF(EmpTable[[#This Row],[Start Date]],TODAY(),"Y")</f>
        <v>7</v>
      </c>
      <c r="G259" t="s">
        <v>35</v>
      </c>
      <c r="H259" t="s">
        <v>48</v>
      </c>
      <c r="I259" t="s">
        <v>36</v>
      </c>
      <c r="J259">
        <v>983</v>
      </c>
      <c r="K259">
        <v>11796</v>
      </c>
      <c r="L259">
        <v>5</v>
      </c>
      <c r="M259">
        <v>0</v>
      </c>
      <c r="N259">
        <v>0</v>
      </c>
      <c r="O259">
        <v>13</v>
      </c>
    </row>
    <row r="260" spans="1:15" x14ac:dyDescent="0.3">
      <c r="A260">
        <v>259</v>
      </c>
      <c r="B260" t="s">
        <v>170</v>
      </c>
      <c r="C260" t="s">
        <v>425</v>
      </c>
      <c r="D260" t="s">
        <v>32</v>
      </c>
      <c r="E260" s="1">
        <v>43941</v>
      </c>
      <c r="F260" s="2">
        <f ca="1">DATEDIF(EmpTable[[#This Row],[Start Date]],TODAY(),"Y")</f>
        <v>6</v>
      </c>
      <c r="G260" t="s">
        <v>50</v>
      </c>
      <c r="H260" t="s">
        <v>18</v>
      </c>
      <c r="I260" t="s">
        <v>36</v>
      </c>
      <c r="J260">
        <v>1223</v>
      </c>
      <c r="K260">
        <v>14676</v>
      </c>
      <c r="L260">
        <v>1</v>
      </c>
      <c r="M260">
        <v>6</v>
      </c>
      <c r="N260">
        <v>0</v>
      </c>
      <c r="O260">
        <v>10</v>
      </c>
    </row>
    <row r="261" spans="1:15" x14ac:dyDescent="0.3">
      <c r="A261">
        <v>260</v>
      </c>
      <c r="B261" t="s">
        <v>426</v>
      </c>
      <c r="C261" t="s">
        <v>427</v>
      </c>
      <c r="D261" t="s">
        <v>307</v>
      </c>
      <c r="E261" s="1">
        <v>44025</v>
      </c>
      <c r="F261" s="2">
        <f ca="1">DATEDIF(EmpTable[[#This Row],[Start Date]],TODAY(),"Y")</f>
        <v>6</v>
      </c>
      <c r="G261" t="s">
        <v>144</v>
      </c>
      <c r="H261" t="s">
        <v>18</v>
      </c>
      <c r="I261" t="s">
        <v>36</v>
      </c>
      <c r="J261">
        <v>833</v>
      </c>
      <c r="K261">
        <v>9996</v>
      </c>
      <c r="L261">
        <v>1</v>
      </c>
      <c r="M261">
        <v>1</v>
      </c>
      <c r="N261">
        <v>0</v>
      </c>
      <c r="O261">
        <v>5</v>
      </c>
    </row>
    <row r="262" spans="1:15" x14ac:dyDescent="0.3">
      <c r="A262">
        <v>261</v>
      </c>
      <c r="B262" t="s">
        <v>428</v>
      </c>
      <c r="C262" t="s">
        <v>429</v>
      </c>
      <c r="D262" t="s">
        <v>307</v>
      </c>
      <c r="E262" s="1">
        <v>43230</v>
      </c>
      <c r="F262" s="2">
        <f ca="1">DATEDIF(EmpTable[[#This Row],[Start Date]],TODAY(),"Y")</f>
        <v>8</v>
      </c>
      <c r="G262" t="s">
        <v>17</v>
      </c>
      <c r="H262" t="s">
        <v>18</v>
      </c>
      <c r="I262" t="s">
        <v>19</v>
      </c>
      <c r="J262">
        <v>2074</v>
      </c>
      <c r="K262">
        <v>24888</v>
      </c>
      <c r="L262">
        <v>3</v>
      </c>
      <c r="M262">
        <v>1</v>
      </c>
      <c r="N262">
        <v>0</v>
      </c>
      <c r="O262">
        <v>2</v>
      </c>
    </row>
    <row r="263" spans="1:15" x14ac:dyDescent="0.3">
      <c r="A263">
        <v>262</v>
      </c>
      <c r="B263" t="s">
        <v>430</v>
      </c>
      <c r="C263" t="s">
        <v>431</v>
      </c>
      <c r="D263" t="s">
        <v>32</v>
      </c>
      <c r="E263" s="1">
        <v>43171</v>
      </c>
      <c r="F263" s="2">
        <f ca="1">DATEDIF(EmpTable[[#This Row],[Start Date]],TODAY(),"Y")</f>
        <v>8</v>
      </c>
      <c r="G263" t="s">
        <v>17</v>
      </c>
      <c r="H263" t="s">
        <v>29</v>
      </c>
      <c r="I263" t="s">
        <v>60</v>
      </c>
      <c r="J263">
        <v>2811</v>
      </c>
      <c r="K263">
        <v>33732</v>
      </c>
      <c r="L263">
        <v>3</v>
      </c>
      <c r="M263">
        <v>0</v>
      </c>
      <c r="N263">
        <v>1</v>
      </c>
      <c r="O263">
        <v>9</v>
      </c>
    </row>
    <row r="264" spans="1:15" x14ac:dyDescent="0.3">
      <c r="A264">
        <v>263</v>
      </c>
      <c r="B264" t="s">
        <v>33</v>
      </c>
      <c r="C264" t="s">
        <v>432</v>
      </c>
      <c r="D264" t="s">
        <v>32</v>
      </c>
      <c r="E264" s="1">
        <v>43731</v>
      </c>
      <c r="F264" s="2">
        <f ca="1">DATEDIF(EmpTable[[#This Row],[Start Date]],TODAY(),"Y")</f>
        <v>6</v>
      </c>
      <c r="G264" t="s">
        <v>17</v>
      </c>
      <c r="H264" t="s">
        <v>22</v>
      </c>
      <c r="I264" t="s">
        <v>36</v>
      </c>
      <c r="J264">
        <v>1436</v>
      </c>
      <c r="K264">
        <v>17232</v>
      </c>
      <c r="L264">
        <v>4.5</v>
      </c>
      <c r="M264">
        <v>3</v>
      </c>
      <c r="N264">
        <v>4</v>
      </c>
      <c r="O264">
        <v>4</v>
      </c>
    </row>
    <row r="265" spans="1:15" x14ac:dyDescent="0.3">
      <c r="A265">
        <v>264</v>
      </c>
      <c r="B265" t="s">
        <v>433</v>
      </c>
      <c r="C265" t="s">
        <v>434</v>
      </c>
      <c r="D265" t="s">
        <v>307</v>
      </c>
      <c r="E265" s="1">
        <v>43647</v>
      </c>
      <c r="F265" s="2">
        <f ca="1">DATEDIF(EmpTable[[#This Row],[Start Date]],TODAY(),"Y")</f>
        <v>7</v>
      </c>
      <c r="G265" t="s">
        <v>28</v>
      </c>
      <c r="H265" t="s">
        <v>18</v>
      </c>
      <c r="I265" t="s">
        <v>36</v>
      </c>
      <c r="J265">
        <v>1041</v>
      </c>
      <c r="K265">
        <v>12492</v>
      </c>
      <c r="L265">
        <v>2</v>
      </c>
      <c r="M265">
        <v>2</v>
      </c>
      <c r="N265">
        <v>0</v>
      </c>
      <c r="O265">
        <v>5</v>
      </c>
    </row>
    <row r="266" spans="1:15" x14ac:dyDescent="0.3">
      <c r="A266">
        <v>265</v>
      </c>
      <c r="B266" t="s">
        <v>435</v>
      </c>
      <c r="C266" t="s">
        <v>436</v>
      </c>
      <c r="D266" t="s">
        <v>307</v>
      </c>
      <c r="E266" s="1">
        <v>43266</v>
      </c>
      <c r="F266" s="2">
        <f ca="1">DATEDIF(EmpTable[[#This Row],[Start Date]],TODAY(),"Y")</f>
        <v>8</v>
      </c>
      <c r="G266" t="s">
        <v>17</v>
      </c>
      <c r="H266" t="s">
        <v>18</v>
      </c>
      <c r="I266" t="s">
        <v>42</v>
      </c>
      <c r="J266">
        <v>2231</v>
      </c>
      <c r="K266">
        <v>26772</v>
      </c>
      <c r="L266">
        <v>3</v>
      </c>
      <c r="M266">
        <v>0</v>
      </c>
      <c r="N266">
        <v>0</v>
      </c>
      <c r="O266">
        <v>87</v>
      </c>
    </row>
    <row r="267" spans="1:15" x14ac:dyDescent="0.3">
      <c r="A267">
        <v>266</v>
      </c>
      <c r="B267" t="s">
        <v>437</v>
      </c>
      <c r="C267" t="s">
        <v>438</v>
      </c>
      <c r="D267" t="s">
        <v>32</v>
      </c>
      <c r="E267" s="1">
        <v>43512</v>
      </c>
      <c r="F267" s="2">
        <f ca="1">DATEDIF(EmpTable[[#This Row],[Start Date]],TODAY(),"Y")</f>
        <v>7</v>
      </c>
      <c r="G267" t="s">
        <v>58</v>
      </c>
      <c r="H267" t="s">
        <v>29</v>
      </c>
      <c r="I267" t="s">
        <v>19</v>
      </c>
      <c r="J267">
        <v>1036</v>
      </c>
      <c r="K267">
        <v>12432</v>
      </c>
      <c r="L267">
        <v>3</v>
      </c>
      <c r="M267">
        <v>0</v>
      </c>
      <c r="N267">
        <v>0</v>
      </c>
      <c r="O267">
        <v>1</v>
      </c>
    </row>
    <row r="268" spans="1:15" x14ac:dyDescent="0.3">
      <c r="A268">
        <v>267</v>
      </c>
      <c r="B268" t="s">
        <v>439</v>
      </c>
      <c r="C268" t="s">
        <v>440</v>
      </c>
      <c r="D268" t="s">
        <v>307</v>
      </c>
      <c r="E268" s="1">
        <v>44119</v>
      </c>
      <c r="F268" s="2">
        <f ca="1">DATEDIF(EmpTable[[#This Row],[Start Date]],TODAY(),"Y")</f>
        <v>5</v>
      </c>
      <c r="G268" t="s">
        <v>17</v>
      </c>
      <c r="H268" t="s">
        <v>18</v>
      </c>
      <c r="I268" t="s">
        <v>36</v>
      </c>
      <c r="J268">
        <v>2143</v>
      </c>
      <c r="K268">
        <v>25716</v>
      </c>
      <c r="L268">
        <v>5</v>
      </c>
      <c r="M268">
        <v>0</v>
      </c>
      <c r="N268">
        <v>0</v>
      </c>
      <c r="O268">
        <v>45</v>
      </c>
    </row>
    <row r="269" spans="1:15" x14ac:dyDescent="0.3">
      <c r="A269">
        <v>268</v>
      </c>
      <c r="B269" t="s">
        <v>37</v>
      </c>
      <c r="C269" t="s">
        <v>441</v>
      </c>
      <c r="D269" t="s">
        <v>307</v>
      </c>
      <c r="E269" s="1">
        <v>43837</v>
      </c>
      <c r="F269" s="2">
        <f ca="1">DATEDIF(EmpTable[[#This Row],[Start Date]],TODAY(),"Y")</f>
        <v>6</v>
      </c>
      <c r="G269" t="s">
        <v>77</v>
      </c>
      <c r="H269" t="s">
        <v>29</v>
      </c>
      <c r="I269" t="s">
        <v>60</v>
      </c>
      <c r="J269">
        <v>967</v>
      </c>
      <c r="K269">
        <v>11604</v>
      </c>
      <c r="L269">
        <v>5</v>
      </c>
      <c r="M269">
        <v>0</v>
      </c>
      <c r="N269">
        <v>4</v>
      </c>
      <c r="O269">
        <v>9</v>
      </c>
    </row>
    <row r="270" spans="1:15" x14ac:dyDescent="0.3">
      <c r="A270">
        <v>269</v>
      </c>
      <c r="B270" t="s">
        <v>246</v>
      </c>
      <c r="C270" t="s">
        <v>442</v>
      </c>
      <c r="D270" t="s">
        <v>32</v>
      </c>
      <c r="E270" s="1">
        <v>44028</v>
      </c>
      <c r="F270" s="2">
        <f ca="1">DATEDIF(EmpTable[[#This Row],[Start Date]],TODAY(),"Y")</f>
        <v>6</v>
      </c>
      <c r="G270" t="s">
        <v>35</v>
      </c>
      <c r="H270" t="s">
        <v>18</v>
      </c>
      <c r="I270" t="s">
        <v>60</v>
      </c>
      <c r="J270">
        <v>2510</v>
      </c>
      <c r="K270">
        <v>30120</v>
      </c>
      <c r="L270">
        <v>1</v>
      </c>
      <c r="M270">
        <v>0</v>
      </c>
      <c r="N270">
        <v>0</v>
      </c>
      <c r="O270">
        <v>3</v>
      </c>
    </row>
    <row r="271" spans="1:15" x14ac:dyDescent="0.3">
      <c r="A271">
        <v>270</v>
      </c>
      <c r="B271" t="s">
        <v>443</v>
      </c>
      <c r="C271" t="s">
        <v>444</v>
      </c>
      <c r="D271" t="s">
        <v>307</v>
      </c>
      <c r="E271" s="1">
        <v>43555</v>
      </c>
      <c r="F271" s="2">
        <f ca="1">DATEDIF(EmpTable[[#This Row],[Start Date]],TODAY(),"Y")</f>
        <v>7</v>
      </c>
      <c r="G271" t="s">
        <v>58</v>
      </c>
      <c r="H271" t="s">
        <v>18</v>
      </c>
      <c r="I271" t="s">
        <v>42</v>
      </c>
      <c r="J271">
        <v>3364</v>
      </c>
      <c r="K271">
        <v>40368</v>
      </c>
      <c r="L271">
        <v>2</v>
      </c>
      <c r="M271">
        <v>0</v>
      </c>
      <c r="N271">
        <v>0</v>
      </c>
      <c r="O271">
        <v>1</v>
      </c>
    </row>
    <row r="272" spans="1:15" x14ac:dyDescent="0.3">
      <c r="A272">
        <v>271</v>
      </c>
      <c r="B272" t="s">
        <v>89</v>
      </c>
      <c r="C272" t="s">
        <v>445</v>
      </c>
      <c r="D272" t="s">
        <v>307</v>
      </c>
      <c r="E272" s="1">
        <v>43471</v>
      </c>
      <c r="F272" s="2">
        <f ca="1">DATEDIF(EmpTable[[#This Row],[Start Date]],TODAY(),"Y")</f>
        <v>7</v>
      </c>
      <c r="G272" t="s">
        <v>77</v>
      </c>
      <c r="H272" t="s">
        <v>18</v>
      </c>
      <c r="I272" t="s">
        <v>19</v>
      </c>
      <c r="J272">
        <v>3420</v>
      </c>
      <c r="K272">
        <v>41040</v>
      </c>
      <c r="L272">
        <v>5</v>
      </c>
      <c r="M272">
        <v>6</v>
      </c>
      <c r="N272">
        <v>0</v>
      </c>
      <c r="O272">
        <v>10</v>
      </c>
    </row>
    <row r="273" spans="1:15" x14ac:dyDescent="0.3">
      <c r="A273">
        <v>272</v>
      </c>
      <c r="B273" t="s">
        <v>69</v>
      </c>
      <c r="C273" t="s">
        <v>446</v>
      </c>
      <c r="D273" t="s">
        <v>32</v>
      </c>
      <c r="E273" s="1">
        <v>43722</v>
      </c>
      <c r="F273" s="2">
        <f ca="1">DATEDIF(EmpTable[[#This Row],[Start Date]],TODAY(),"Y")</f>
        <v>6</v>
      </c>
      <c r="G273" t="s">
        <v>118</v>
      </c>
      <c r="H273" t="s">
        <v>29</v>
      </c>
      <c r="I273" t="s">
        <v>60</v>
      </c>
      <c r="J273">
        <v>2229</v>
      </c>
      <c r="K273">
        <v>26748</v>
      </c>
      <c r="L273">
        <v>3</v>
      </c>
      <c r="M273">
        <v>3</v>
      </c>
      <c r="N273">
        <v>0</v>
      </c>
      <c r="O273">
        <v>1</v>
      </c>
    </row>
    <row r="274" spans="1:15" x14ac:dyDescent="0.3">
      <c r="A274">
        <v>273</v>
      </c>
      <c r="B274" t="s">
        <v>302</v>
      </c>
      <c r="C274" t="s">
        <v>447</v>
      </c>
      <c r="D274" t="s">
        <v>32</v>
      </c>
      <c r="E274" s="1">
        <v>43978</v>
      </c>
      <c r="F274" s="2">
        <f ca="1">DATEDIF(EmpTable[[#This Row],[Start Date]],TODAY(),"Y")</f>
        <v>6</v>
      </c>
      <c r="G274" t="s">
        <v>118</v>
      </c>
      <c r="H274" t="s">
        <v>18</v>
      </c>
      <c r="I274" t="s">
        <v>19</v>
      </c>
      <c r="J274">
        <v>1910</v>
      </c>
      <c r="K274">
        <v>22920</v>
      </c>
      <c r="L274">
        <v>5</v>
      </c>
      <c r="M274">
        <v>2</v>
      </c>
      <c r="N274">
        <v>0</v>
      </c>
      <c r="O274">
        <v>5</v>
      </c>
    </row>
    <row r="275" spans="1:15" x14ac:dyDescent="0.3">
      <c r="A275">
        <v>274</v>
      </c>
      <c r="B275" t="s">
        <v>375</v>
      </c>
      <c r="C275" t="s">
        <v>216</v>
      </c>
      <c r="D275" t="s">
        <v>307</v>
      </c>
      <c r="E275" s="1">
        <v>43684</v>
      </c>
      <c r="F275" s="2">
        <f ca="1">DATEDIF(EmpTable[[#This Row],[Start Date]],TODAY(),"Y")</f>
        <v>7</v>
      </c>
      <c r="G275" t="s">
        <v>76</v>
      </c>
      <c r="H275" t="s">
        <v>18</v>
      </c>
      <c r="I275" t="s">
        <v>36</v>
      </c>
      <c r="J275">
        <v>1917</v>
      </c>
      <c r="K275">
        <v>23004</v>
      </c>
      <c r="L275">
        <v>4.5</v>
      </c>
      <c r="M275">
        <v>0</v>
      </c>
      <c r="N275">
        <v>1</v>
      </c>
      <c r="O275">
        <v>84</v>
      </c>
    </row>
    <row r="276" spans="1:15" x14ac:dyDescent="0.3">
      <c r="A276">
        <v>275</v>
      </c>
      <c r="B276" t="s">
        <v>369</v>
      </c>
      <c r="C276" t="s">
        <v>448</v>
      </c>
      <c r="D276" t="s">
        <v>32</v>
      </c>
      <c r="E276" s="1">
        <v>43454</v>
      </c>
      <c r="F276" s="2">
        <f ca="1">DATEDIF(EmpTable[[#This Row],[Start Date]],TODAY(),"Y")</f>
        <v>7</v>
      </c>
      <c r="G276" t="s">
        <v>17</v>
      </c>
      <c r="H276" t="s">
        <v>18</v>
      </c>
      <c r="I276" t="s">
        <v>36</v>
      </c>
      <c r="J276">
        <v>831</v>
      </c>
      <c r="K276">
        <v>9972</v>
      </c>
      <c r="L276">
        <v>1</v>
      </c>
      <c r="M276">
        <v>1</v>
      </c>
      <c r="N276">
        <v>2</v>
      </c>
      <c r="O276">
        <v>7</v>
      </c>
    </row>
    <row r="277" spans="1:15" x14ac:dyDescent="0.3">
      <c r="A277">
        <v>276</v>
      </c>
      <c r="B277" t="s">
        <v>33</v>
      </c>
      <c r="C277" t="s">
        <v>449</v>
      </c>
      <c r="D277" t="s">
        <v>32</v>
      </c>
      <c r="E277" s="1">
        <v>43652</v>
      </c>
      <c r="F277" s="2">
        <f ca="1">DATEDIF(EmpTable[[#This Row],[Start Date]],TODAY(),"Y")</f>
        <v>7</v>
      </c>
      <c r="G277" t="s">
        <v>17</v>
      </c>
      <c r="H277" t="s">
        <v>29</v>
      </c>
      <c r="I277" t="s">
        <v>42</v>
      </c>
      <c r="J277">
        <v>2636</v>
      </c>
      <c r="K277">
        <v>31632</v>
      </c>
      <c r="L277">
        <v>4.5</v>
      </c>
      <c r="M277">
        <v>0</v>
      </c>
      <c r="N277">
        <v>2</v>
      </c>
      <c r="O277">
        <v>4</v>
      </c>
    </row>
    <row r="278" spans="1:15" x14ac:dyDescent="0.3">
      <c r="A278">
        <v>277</v>
      </c>
      <c r="B278" t="s">
        <v>82</v>
      </c>
      <c r="C278" t="s">
        <v>450</v>
      </c>
      <c r="D278" t="s">
        <v>307</v>
      </c>
      <c r="E278" s="1">
        <v>43348</v>
      </c>
      <c r="F278" s="2">
        <f ca="1">DATEDIF(EmpTable[[#This Row],[Start Date]],TODAY(),"Y")</f>
        <v>7</v>
      </c>
      <c r="G278" t="s">
        <v>41</v>
      </c>
      <c r="H278" t="s">
        <v>48</v>
      </c>
      <c r="I278" t="s">
        <v>42</v>
      </c>
      <c r="J278">
        <v>2929</v>
      </c>
      <c r="K278">
        <v>35148</v>
      </c>
      <c r="L278">
        <v>2</v>
      </c>
      <c r="M278">
        <v>0</v>
      </c>
      <c r="N278">
        <v>1</v>
      </c>
      <c r="O278">
        <v>4</v>
      </c>
    </row>
    <row r="279" spans="1:15" x14ac:dyDescent="0.3">
      <c r="A279">
        <v>278</v>
      </c>
      <c r="B279" t="s">
        <v>195</v>
      </c>
      <c r="C279" t="s">
        <v>451</v>
      </c>
      <c r="D279" t="s">
        <v>32</v>
      </c>
      <c r="E279" s="1">
        <v>43764</v>
      </c>
      <c r="F279" s="2">
        <f ca="1">DATEDIF(EmpTable[[#This Row],[Start Date]],TODAY(),"Y")</f>
        <v>6</v>
      </c>
      <c r="G279" t="s">
        <v>17</v>
      </c>
      <c r="H279" t="s">
        <v>18</v>
      </c>
      <c r="I279" t="s">
        <v>36</v>
      </c>
      <c r="J279">
        <v>1255</v>
      </c>
      <c r="K279">
        <v>15060</v>
      </c>
      <c r="L279">
        <v>1</v>
      </c>
      <c r="M279">
        <v>6</v>
      </c>
      <c r="N279">
        <v>0</v>
      </c>
      <c r="O279">
        <v>15</v>
      </c>
    </row>
    <row r="280" spans="1:15" x14ac:dyDescent="0.3">
      <c r="A280">
        <v>279</v>
      </c>
      <c r="B280" t="s">
        <v>272</v>
      </c>
      <c r="C280" t="s">
        <v>452</v>
      </c>
      <c r="D280" t="s">
        <v>32</v>
      </c>
      <c r="E280" s="1">
        <v>43933</v>
      </c>
      <c r="F280" s="2">
        <f ca="1">DATEDIF(EmpTable[[#This Row],[Start Date]],TODAY(),"Y")</f>
        <v>6</v>
      </c>
      <c r="G280" t="s">
        <v>17</v>
      </c>
      <c r="H280" t="s">
        <v>29</v>
      </c>
      <c r="I280" t="s">
        <v>42</v>
      </c>
      <c r="J280">
        <v>2210</v>
      </c>
      <c r="K280">
        <v>26520</v>
      </c>
      <c r="L280">
        <v>3</v>
      </c>
      <c r="M280">
        <v>0</v>
      </c>
      <c r="N280">
        <v>0</v>
      </c>
      <c r="O280">
        <v>13</v>
      </c>
    </row>
    <row r="281" spans="1:15" x14ac:dyDescent="0.3">
      <c r="A281">
        <v>280</v>
      </c>
      <c r="B281" t="s">
        <v>453</v>
      </c>
      <c r="C281" t="s">
        <v>454</v>
      </c>
      <c r="D281" t="s">
        <v>307</v>
      </c>
      <c r="E281" s="1">
        <v>43753</v>
      </c>
      <c r="F281" s="2">
        <f ca="1">DATEDIF(EmpTable[[#This Row],[Start Date]],TODAY(),"Y")</f>
        <v>6</v>
      </c>
      <c r="G281" t="s">
        <v>17</v>
      </c>
      <c r="H281" t="s">
        <v>18</v>
      </c>
      <c r="I281" t="s">
        <v>36</v>
      </c>
      <c r="J281">
        <v>1788</v>
      </c>
      <c r="K281">
        <v>21456</v>
      </c>
      <c r="L281">
        <v>5</v>
      </c>
      <c r="M281">
        <v>1</v>
      </c>
      <c r="N281">
        <v>0</v>
      </c>
      <c r="O281">
        <v>9</v>
      </c>
    </row>
    <row r="282" spans="1:15" x14ac:dyDescent="0.3">
      <c r="A282">
        <v>281</v>
      </c>
      <c r="B282" t="s">
        <v>369</v>
      </c>
      <c r="C282" t="s">
        <v>455</v>
      </c>
      <c r="D282" t="s">
        <v>32</v>
      </c>
      <c r="E282" s="1">
        <v>43951</v>
      </c>
      <c r="F282" s="2">
        <f ca="1">DATEDIF(EmpTable[[#This Row],[Start Date]],TODAY(),"Y")</f>
        <v>6</v>
      </c>
      <c r="G282" t="s">
        <v>17</v>
      </c>
      <c r="H282" t="s">
        <v>18</v>
      </c>
      <c r="I282" t="s">
        <v>36</v>
      </c>
      <c r="J282">
        <v>2488</v>
      </c>
      <c r="K282">
        <v>29856</v>
      </c>
      <c r="L282">
        <v>5</v>
      </c>
      <c r="M282">
        <v>0</v>
      </c>
      <c r="N282">
        <v>5</v>
      </c>
      <c r="O282">
        <v>3</v>
      </c>
    </row>
    <row r="283" spans="1:15" x14ac:dyDescent="0.3">
      <c r="A283">
        <v>282</v>
      </c>
      <c r="B283" t="s">
        <v>33</v>
      </c>
      <c r="C283" t="s">
        <v>456</v>
      </c>
      <c r="D283" t="s">
        <v>32</v>
      </c>
      <c r="E283" s="1">
        <v>43939</v>
      </c>
      <c r="F283" s="2">
        <f ca="1">DATEDIF(EmpTable[[#This Row],[Start Date]],TODAY(),"Y")</f>
        <v>6</v>
      </c>
      <c r="G283" t="s">
        <v>28</v>
      </c>
      <c r="H283" t="s">
        <v>18</v>
      </c>
      <c r="I283" t="s">
        <v>36</v>
      </c>
      <c r="J283">
        <v>2187</v>
      </c>
      <c r="K283">
        <v>26244</v>
      </c>
      <c r="L283">
        <v>5</v>
      </c>
      <c r="M283">
        <v>1</v>
      </c>
      <c r="N283">
        <v>3</v>
      </c>
      <c r="O283">
        <v>2</v>
      </c>
    </row>
    <row r="284" spans="1:15" x14ac:dyDescent="0.3">
      <c r="A284">
        <v>283</v>
      </c>
      <c r="B284" t="s">
        <v>457</v>
      </c>
      <c r="C284" t="s">
        <v>458</v>
      </c>
      <c r="D284" t="s">
        <v>32</v>
      </c>
      <c r="E284" s="1">
        <v>43963</v>
      </c>
      <c r="F284" s="2">
        <f ca="1">DATEDIF(EmpTable[[#This Row],[Start Date]],TODAY(),"Y")</f>
        <v>6</v>
      </c>
      <c r="G284" t="s">
        <v>17</v>
      </c>
      <c r="H284" t="s">
        <v>18</v>
      </c>
      <c r="I284" t="s">
        <v>42</v>
      </c>
      <c r="J284">
        <v>1366</v>
      </c>
      <c r="K284">
        <v>16392</v>
      </c>
      <c r="L284">
        <v>2</v>
      </c>
      <c r="M284">
        <v>0</v>
      </c>
      <c r="N284">
        <v>0</v>
      </c>
      <c r="O284">
        <v>13</v>
      </c>
    </row>
    <row r="285" spans="1:15" x14ac:dyDescent="0.3">
      <c r="A285">
        <v>284</v>
      </c>
      <c r="B285" t="s">
        <v>197</v>
      </c>
      <c r="C285" t="s">
        <v>459</v>
      </c>
      <c r="D285" t="s">
        <v>32</v>
      </c>
      <c r="E285" s="1">
        <v>43591</v>
      </c>
      <c r="F285" s="2">
        <f ca="1">DATEDIF(EmpTable[[#This Row],[Start Date]],TODAY(),"Y")</f>
        <v>7</v>
      </c>
      <c r="G285" t="s">
        <v>77</v>
      </c>
      <c r="H285" t="s">
        <v>18</v>
      </c>
      <c r="I285" t="s">
        <v>19</v>
      </c>
      <c r="J285">
        <v>2612</v>
      </c>
      <c r="K285">
        <v>31344</v>
      </c>
      <c r="L285">
        <v>5</v>
      </c>
      <c r="M285">
        <v>0</v>
      </c>
      <c r="N285">
        <v>0</v>
      </c>
      <c r="O285">
        <v>8</v>
      </c>
    </row>
    <row r="286" spans="1:15" x14ac:dyDescent="0.3">
      <c r="A286">
        <v>285</v>
      </c>
      <c r="B286" t="s">
        <v>460</v>
      </c>
      <c r="C286" t="s">
        <v>461</v>
      </c>
      <c r="D286" t="s">
        <v>32</v>
      </c>
      <c r="E286" s="1">
        <v>43199</v>
      </c>
      <c r="F286" s="2">
        <f ca="1">DATEDIF(EmpTable[[#This Row],[Start Date]],TODAY(),"Y")</f>
        <v>8</v>
      </c>
      <c r="G286" t="s">
        <v>41</v>
      </c>
      <c r="H286" t="s">
        <v>29</v>
      </c>
      <c r="I286" t="s">
        <v>42</v>
      </c>
      <c r="J286">
        <v>2246</v>
      </c>
      <c r="K286">
        <v>26952</v>
      </c>
      <c r="L286">
        <v>5</v>
      </c>
      <c r="M286">
        <v>0</v>
      </c>
      <c r="N286">
        <v>0</v>
      </c>
      <c r="O286">
        <v>8</v>
      </c>
    </row>
    <row r="287" spans="1:15" x14ac:dyDescent="0.3">
      <c r="A287">
        <v>286</v>
      </c>
      <c r="B287" t="s">
        <v>33</v>
      </c>
      <c r="C287" t="s">
        <v>462</v>
      </c>
      <c r="D287" t="s">
        <v>32</v>
      </c>
      <c r="E287" s="1">
        <v>43307</v>
      </c>
      <c r="F287" s="2">
        <f ca="1">DATEDIF(EmpTable[[#This Row],[Start Date]],TODAY(),"Y")</f>
        <v>8</v>
      </c>
      <c r="G287" t="s">
        <v>17</v>
      </c>
      <c r="H287" t="s">
        <v>18</v>
      </c>
      <c r="I287" t="s">
        <v>42</v>
      </c>
      <c r="J287">
        <v>2761</v>
      </c>
      <c r="K287">
        <v>33132</v>
      </c>
      <c r="L287">
        <v>5</v>
      </c>
      <c r="M287">
        <v>0</v>
      </c>
      <c r="N287">
        <v>2</v>
      </c>
      <c r="O287">
        <v>5</v>
      </c>
    </row>
    <row r="288" spans="1:15" x14ac:dyDescent="0.3">
      <c r="A288">
        <v>287</v>
      </c>
      <c r="B288" t="s">
        <v>463</v>
      </c>
      <c r="C288" t="s">
        <v>464</v>
      </c>
      <c r="D288" t="s">
        <v>307</v>
      </c>
      <c r="E288" s="1">
        <v>43800</v>
      </c>
      <c r="F288" s="2">
        <f ca="1">DATEDIF(EmpTable[[#This Row],[Start Date]],TODAY(),"Y")</f>
        <v>6</v>
      </c>
      <c r="G288" t="s">
        <v>118</v>
      </c>
      <c r="H288" t="s">
        <v>18</v>
      </c>
      <c r="I288" t="s">
        <v>42</v>
      </c>
      <c r="J288">
        <v>1536</v>
      </c>
      <c r="K288">
        <v>18432</v>
      </c>
      <c r="L288">
        <v>4.5</v>
      </c>
      <c r="M288">
        <v>0</v>
      </c>
      <c r="N288">
        <v>0</v>
      </c>
      <c r="O288">
        <v>76</v>
      </c>
    </row>
    <row r="289" spans="1:15" x14ac:dyDescent="0.3">
      <c r="A289">
        <v>288</v>
      </c>
      <c r="B289" t="s">
        <v>33</v>
      </c>
      <c r="C289" t="s">
        <v>465</v>
      </c>
      <c r="D289" t="s">
        <v>32</v>
      </c>
      <c r="E289" s="1">
        <v>42684</v>
      </c>
      <c r="F289" s="2">
        <f ca="1">DATEDIF(EmpTable[[#This Row],[Start Date]],TODAY(),"Y")</f>
        <v>9</v>
      </c>
      <c r="G289" t="s">
        <v>88</v>
      </c>
      <c r="H289" t="s">
        <v>22</v>
      </c>
      <c r="I289" t="s">
        <v>60</v>
      </c>
      <c r="J289">
        <v>2180</v>
      </c>
      <c r="K289">
        <v>26160</v>
      </c>
      <c r="L289">
        <v>4.5</v>
      </c>
      <c r="M289">
        <v>0</v>
      </c>
      <c r="N289">
        <v>0</v>
      </c>
      <c r="O289">
        <v>80</v>
      </c>
    </row>
    <row r="290" spans="1:15" x14ac:dyDescent="0.3">
      <c r="A290">
        <v>289</v>
      </c>
      <c r="B290" t="s">
        <v>466</v>
      </c>
      <c r="C290" t="s">
        <v>461</v>
      </c>
      <c r="D290" t="s">
        <v>307</v>
      </c>
      <c r="E290" s="1">
        <v>43822</v>
      </c>
      <c r="F290" s="2">
        <f ca="1">DATEDIF(EmpTable[[#This Row],[Start Date]],TODAY(),"Y")</f>
        <v>6</v>
      </c>
      <c r="G290" t="s">
        <v>41</v>
      </c>
      <c r="H290" t="s">
        <v>18</v>
      </c>
      <c r="I290" t="s">
        <v>42</v>
      </c>
      <c r="J290">
        <v>3412</v>
      </c>
      <c r="K290">
        <v>40944</v>
      </c>
      <c r="L290">
        <v>5</v>
      </c>
      <c r="M290">
        <v>2</v>
      </c>
      <c r="N290">
        <v>0</v>
      </c>
      <c r="O290">
        <v>3</v>
      </c>
    </row>
    <row r="291" spans="1:15" x14ac:dyDescent="0.3">
      <c r="A291">
        <v>290</v>
      </c>
      <c r="B291" t="s">
        <v>33</v>
      </c>
      <c r="C291" t="s">
        <v>467</v>
      </c>
      <c r="D291" t="s">
        <v>32</v>
      </c>
      <c r="E291" s="1">
        <v>43250</v>
      </c>
      <c r="F291" s="2">
        <f ca="1">DATEDIF(EmpTable[[#This Row],[Start Date]],TODAY(),"Y")</f>
        <v>8</v>
      </c>
      <c r="G291" t="s">
        <v>53</v>
      </c>
      <c r="H291" t="s">
        <v>18</v>
      </c>
      <c r="I291" t="s">
        <v>42</v>
      </c>
      <c r="J291">
        <v>2546</v>
      </c>
      <c r="K291">
        <v>30552</v>
      </c>
      <c r="L291">
        <v>4.5</v>
      </c>
      <c r="M291">
        <v>0</v>
      </c>
      <c r="N291">
        <v>0</v>
      </c>
      <c r="O291">
        <v>6</v>
      </c>
    </row>
    <row r="292" spans="1:15" x14ac:dyDescent="0.3">
      <c r="A292">
        <v>291</v>
      </c>
      <c r="B292" t="s">
        <v>33</v>
      </c>
      <c r="C292" t="s">
        <v>468</v>
      </c>
      <c r="D292" t="s">
        <v>32</v>
      </c>
      <c r="E292" s="1">
        <v>43096</v>
      </c>
      <c r="F292" s="2">
        <f ca="1">DATEDIF(EmpTable[[#This Row],[Start Date]],TODAY(),"Y")</f>
        <v>8</v>
      </c>
      <c r="G292" t="s">
        <v>144</v>
      </c>
      <c r="H292" t="s">
        <v>18</v>
      </c>
      <c r="I292" t="s">
        <v>36</v>
      </c>
      <c r="J292">
        <v>1856</v>
      </c>
      <c r="K292">
        <v>22272</v>
      </c>
      <c r="L292">
        <v>5</v>
      </c>
      <c r="M292">
        <v>0</v>
      </c>
      <c r="N292">
        <v>0</v>
      </c>
      <c r="O292">
        <v>0</v>
      </c>
    </row>
    <row r="293" spans="1:15" x14ac:dyDescent="0.3">
      <c r="A293">
        <v>292</v>
      </c>
      <c r="B293" t="s">
        <v>197</v>
      </c>
      <c r="C293" t="s">
        <v>469</v>
      </c>
      <c r="D293" t="s">
        <v>32</v>
      </c>
      <c r="E293" s="1">
        <v>43618</v>
      </c>
      <c r="F293" s="2">
        <f ca="1">DATEDIF(EmpTable[[#This Row],[Start Date]],TODAY(),"Y")</f>
        <v>7</v>
      </c>
      <c r="G293" t="s">
        <v>35</v>
      </c>
      <c r="H293" t="s">
        <v>18</v>
      </c>
      <c r="I293" t="s">
        <v>42</v>
      </c>
      <c r="J293">
        <v>3220</v>
      </c>
      <c r="K293">
        <v>38640</v>
      </c>
      <c r="L293">
        <v>5</v>
      </c>
      <c r="M293">
        <v>6</v>
      </c>
      <c r="N293">
        <v>0</v>
      </c>
      <c r="O293">
        <v>3</v>
      </c>
    </row>
    <row r="294" spans="1:15" x14ac:dyDescent="0.3">
      <c r="A294">
        <v>293</v>
      </c>
      <c r="B294" t="s">
        <v>59</v>
      </c>
      <c r="C294" t="s">
        <v>470</v>
      </c>
      <c r="D294" t="s">
        <v>32</v>
      </c>
      <c r="E294" s="1">
        <v>42473</v>
      </c>
      <c r="F294" s="2">
        <f ca="1">DATEDIF(EmpTable[[#This Row],[Start Date]],TODAY(),"Y")</f>
        <v>10</v>
      </c>
      <c r="G294" t="s">
        <v>28</v>
      </c>
      <c r="H294" t="s">
        <v>22</v>
      </c>
      <c r="I294" t="s">
        <v>42</v>
      </c>
      <c r="J294">
        <v>3061</v>
      </c>
      <c r="K294">
        <v>36732</v>
      </c>
      <c r="L294">
        <v>5</v>
      </c>
      <c r="M294">
        <v>0</v>
      </c>
      <c r="N294">
        <v>0</v>
      </c>
      <c r="O294">
        <v>3</v>
      </c>
    </row>
    <row r="295" spans="1:15" x14ac:dyDescent="0.3">
      <c r="A295">
        <v>294</v>
      </c>
      <c r="B295" t="s">
        <v>263</v>
      </c>
      <c r="C295" t="s">
        <v>341</v>
      </c>
      <c r="D295" t="s">
        <v>32</v>
      </c>
      <c r="E295" s="1">
        <v>42973</v>
      </c>
      <c r="F295" s="2">
        <f ca="1">DATEDIF(EmpTable[[#This Row],[Start Date]],TODAY(),"Y")</f>
        <v>9</v>
      </c>
      <c r="G295" t="s">
        <v>76</v>
      </c>
      <c r="H295" t="s">
        <v>22</v>
      </c>
      <c r="I295" t="s">
        <v>36</v>
      </c>
      <c r="J295">
        <v>2221</v>
      </c>
      <c r="K295">
        <v>26652</v>
      </c>
      <c r="L295">
        <v>2</v>
      </c>
      <c r="M295">
        <v>0</v>
      </c>
      <c r="N295">
        <v>0</v>
      </c>
      <c r="O295">
        <v>1</v>
      </c>
    </row>
    <row r="296" spans="1:15" x14ac:dyDescent="0.3">
      <c r="A296">
        <v>295</v>
      </c>
      <c r="B296" t="s">
        <v>471</v>
      </c>
      <c r="C296" t="s">
        <v>30</v>
      </c>
      <c r="D296" t="s">
        <v>307</v>
      </c>
      <c r="E296" s="1">
        <v>42852</v>
      </c>
      <c r="F296" s="2">
        <f ca="1">DATEDIF(EmpTable[[#This Row],[Start Date]],TODAY(),"Y")</f>
        <v>9</v>
      </c>
      <c r="G296" t="s">
        <v>17</v>
      </c>
      <c r="H296" t="s">
        <v>22</v>
      </c>
      <c r="I296" t="s">
        <v>60</v>
      </c>
      <c r="J296">
        <v>1799</v>
      </c>
      <c r="K296">
        <v>21588</v>
      </c>
      <c r="L296">
        <v>4.5</v>
      </c>
      <c r="M296">
        <v>2</v>
      </c>
      <c r="N296">
        <v>0</v>
      </c>
      <c r="O296">
        <v>6</v>
      </c>
    </row>
    <row r="297" spans="1:15" x14ac:dyDescent="0.3">
      <c r="A297">
        <v>296</v>
      </c>
      <c r="B297" t="s">
        <v>369</v>
      </c>
      <c r="C297" t="s">
        <v>472</v>
      </c>
      <c r="D297" t="s">
        <v>32</v>
      </c>
      <c r="E297" s="1">
        <v>42879</v>
      </c>
      <c r="F297" s="2">
        <f ca="1">DATEDIF(EmpTable[[#This Row],[Start Date]],TODAY(),"Y")</f>
        <v>9</v>
      </c>
      <c r="G297" t="s">
        <v>41</v>
      </c>
      <c r="H297" t="s">
        <v>18</v>
      </c>
      <c r="I297" t="s">
        <v>60</v>
      </c>
      <c r="J297">
        <v>2082</v>
      </c>
      <c r="K297">
        <v>24984</v>
      </c>
      <c r="L297">
        <v>3</v>
      </c>
      <c r="M297">
        <v>0</v>
      </c>
      <c r="N297">
        <v>0</v>
      </c>
      <c r="O297">
        <v>1</v>
      </c>
    </row>
    <row r="298" spans="1:15" x14ac:dyDescent="0.3">
      <c r="A298">
        <v>297</v>
      </c>
      <c r="B298" t="s">
        <v>290</v>
      </c>
      <c r="C298" t="s">
        <v>119</v>
      </c>
      <c r="D298" t="s">
        <v>32</v>
      </c>
      <c r="E298" s="1">
        <v>42605</v>
      </c>
      <c r="F298" s="2">
        <f ca="1">DATEDIF(EmpTable[[#This Row],[Start Date]],TODAY(),"Y")</f>
        <v>10</v>
      </c>
      <c r="G298" t="s">
        <v>118</v>
      </c>
      <c r="H298" t="s">
        <v>29</v>
      </c>
      <c r="I298" t="s">
        <v>36</v>
      </c>
      <c r="J298">
        <v>1490</v>
      </c>
      <c r="K298">
        <v>17880</v>
      </c>
      <c r="L298">
        <v>4.5</v>
      </c>
      <c r="M298">
        <v>0</v>
      </c>
      <c r="N298">
        <v>2</v>
      </c>
      <c r="O298">
        <v>6</v>
      </c>
    </row>
    <row r="299" spans="1:15" x14ac:dyDescent="0.3">
      <c r="A299">
        <v>298</v>
      </c>
      <c r="B299" t="s">
        <v>300</v>
      </c>
      <c r="C299" t="s">
        <v>473</v>
      </c>
      <c r="D299" t="s">
        <v>307</v>
      </c>
      <c r="E299" s="1">
        <v>43905</v>
      </c>
      <c r="F299" s="2">
        <f ca="1">DATEDIF(EmpTable[[#This Row],[Start Date]],TODAY(),"Y")</f>
        <v>6</v>
      </c>
      <c r="G299" t="s">
        <v>41</v>
      </c>
      <c r="H299" t="s">
        <v>29</v>
      </c>
      <c r="I299" t="s">
        <v>36</v>
      </c>
      <c r="J299">
        <v>2042</v>
      </c>
      <c r="K299">
        <v>24504</v>
      </c>
      <c r="L299">
        <v>4.5</v>
      </c>
      <c r="M299">
        <v>0</v>
      </c>
      <c r="N299">
        <v>0</v>
      </c>
      <c r="O299">
        <v>10</v>
      </c>
    </row>
    <row r="300" spans="1:15" x14ac:dyDescent="0.3">
      <c r="A300">
        <v>299</v>
      </c>
      <c r="B300" t="s">
        <v>116</v>
      </c>
      <c r="C300" t="s">
        <v>474</v>
      </c>
      <c r="D300" t="s">
        <v>32</v>
      </c>
      <c r="E300" s="1">
        <v>42492</v>
      </c>
      <c r="F300" s="2">
        <f ca="1">DATEDIF(EmpTable[[#This Row],[Start Date]],TODAY(),"Y")</f>
        <v>10</v>
      </c>
      <c r="G300" t="s">
        <v>58</v>
      </c>
      <c r="H300" t="s">
        <v>48</v>
      </c>
      <c r="I300" t="s">
        <v>42</v>
      </c>
      <c r="J300">
        <v>985</v>
      </c>
      <c r="K300">
        <v>11820</v>
      </c>
      <c r="L300">
        <v>5</v>
      </c>
      <c r="M300">
        <v>1</v>
      </c>
      <c r="N300">
        <v>0</v>
      </c>
      <c r="O300">
        <v>5</v>
      </c>
    </row>
    <row r="301" spans="1:15" x14ac:dyDescent="0.3">
      <c r="A301">
        <v>300</v>
      </c>
      <c r="B301" t="s">
        <v>99</v>
      </c>
      <c r="C301" t="s">
        <v>475</v>
      </c>
      <c r="D301" t="s">
        <v>307</v>
      </c>
      <c r="E301" s="1">
        <v>42860</v>
      </c>
      <c r="F301" s="2">
        <f ca="1">DATEDIF(EmpTable[[#This Row],[Start Date]],TODAY(),"Y")</f>
        <v>9</v>
      </c>
      <c r="G301" t="s">
        <v>39</v>
      </c>
      <c r="H301" t="s">
        <v>18</v>
      </c>
      <c r="I301" t="s">
        <v>36</v>
      </c>
      <c r="J301">
        <v>1988</v>
      </c>
      <c r="K301">
        <v>23856</v>
      </c>
      <c r="L301">
        <v>3</v>
      </c>
      <c r="M301">
        <v>0</v>
      </c>
      <c r="N301">
        <v>0</v>
      </c>
      <c r="O301">
        <v>7</v>
      </c>
    </row>
    <row r="302" spans="1:15" x14ac:dyDescent="0.3">
      <c r="A302">
        <v>301</v>
      </c>
      <c r="B302" t="s">
        <v>37</v>
      </c>
      <c r="C302" t="s">
        <v>476</v>
      </c>
      <c r="D302" t="s">
        <v>307</v>
      </c>
      <c r="E302" s="1">
        <v>43286</v>
      </c>
      <c r="F302" s="2">
        <f ca="1">DATEDIF(EmpTable[[#This Row],[Start Date]],TODAY(),"Y")</f>
        <v>8</v>
      </c>
      <c r="G302" t="s">
        <v>41</v>
      </c>
      <c r="H302" t="s">
        <v>22</v>
      </c>
      <c r="I302" t="s">
        <v>60</v>
      </c>
      <c r="J302">
        <v>1545</v>
      </c>
      <c r="K302">
        <v>18540</v>
      </c>
      <c r="L302">
        <v>5</v>
      </c>
      <c r="M302">
        <v>1</v>
      </c>
      <c r="N302">
        <v>0</v>
      </c>
      <c r="O302">
        <v>1</v>
      </c>
    </row>
    <row r="303" spans="1:15" x14ac:dyDescent="0.3">
      <c r="A303">
        <v>302</v>
      </c>
      <c r="B303" t="s">
        <v>477</v>
      </c>
      <c r="C303" t="s">
        <v>478</v>
      </c>
      <c r="D303" t="s">
        <v>32</v>
      </c>
      <c r="E303" s="1">
        <v>44016</v>
      </c>
      <c r="F303" s="2">
        <f ca="1">DATEDIF(EmpTable[[#This Row],[Start Date]],TODAY(),"Y")</f>
        <v>6</v>
      </c>
      <c r="G303" t="s">
        <v>76</v>
      </c>
      <c r="H303" t="s">
        <v>18</v>
      </c>
      <c r="I303" t="s">
        <v>42</v>
      </c>
      <c r="J303">
        <v>2637</v>
      </c>
      <c r="K303">
        <v>31644</v>
      </c>
      <c r="L303">
        <v>5</v>
      </c>
      <c r="M303">
        <v>0</v>
      </c>
      <c r="N303">
        <v>0</v>
      </c>
      <c r="O303">
        <v>50</v>
      </c>
    </row>
    <row r="304" spans="1:15" x14ac:dyDescent="0.3">
      <c r="A304">
        <v>303</v>
      </c>
      <c r="B304" t="s">
        <v>33</v>
      </c>
      <c r="C304" t="s">
        <v>479</v>
      </c>
      <c r="D304" t="s">
        <v>32</v>
      </c>
      <c r="E304" s="1">
        <v>43810</v>
      </c>
      <c r="F304" s="2">
        <f ca="1">DATEDIF(EmpTable[[#This Row],[Start Date]],TODAY(),"Y")</f>
        <v>6</v>
      </c>
      <c r="G304" t="s">
        <v>28</v>
      </c>
      <c r="H304" t="s">
        <v>22</v>
      </c>
      <c r="I304" t="s">
        <v>36</v>
      </c>
      <c r="J304">
        <v>1385</v>
      </c>
      <c r="K304">
        <v>16620</v>
      </c>
      <c r="L304">
        <v>4.5</v>
      </c>
      <c r="M304">
        <v>0</v>
      </c>
      <c r="N304">
        <v>0</v>
      </c>
      <c r="O304">
        <v>6</v>
      </c>
    </row>
    <row r="305" spans="1:15" x14ac:dyDescent="0.3">
      <c r="A305">
        <v>304</v>
      </c>
      <c r="B305" t="s">
        <v>480</v>
      </c>
      <c r="C305" t="s">
        <v>481</v>
      </c>
      <c r="D305" t="s">
        <v>307</v>
      </c>
      <c r="E305" s="1">
        <v>43136</v>
      </c>
      <c r="F305" s="2">
        <f ca="1">DATEDIF(EmpTable[[#This Row],[Start Date]],TODAY(),"Y")</f>
        <v>8</v>
      </c>
      <c r="G305" t="s">
        <v>28</v>
      </c>
      <c r="H305" t="s">
        <v>29</v>
      </c>
      <c r="I305" t="s">
        <v>60</v>
      </c>
      <c r="J305">
        <v>2468</v>
      </c>
      <c r="K305">
        <v>29616</v>
      </c>
      <c r="L305">
        <v>1</v>
      </c>
      <c r="M305">
        <v>4</v>
      </c>
      <c r="N305">
        <v>0</v>
      </c>
      <c r="O305">
        <v>3</v>
      </c>
    </row>
    <row r="306" spans="1:15" x14ac:dyDescent="0.3">
      <c r="A306">
        <v>305</v>
      </c>
      <c r="B306" t="s">
        <v>482</v>
      </c>
      <c r="C306" t="s">
        <v>483</v>
      </c>
      <c r="D306" t="s">
        <v>307</v>
      </c>
      <c r="E306" s="1">
        <v>43280</v>
      </c>
      <c r="F306" s="2">
        <f ca="1">DATEDIF(EmpTable[[#This Row],[Start Date]],TODAY(),"Y")</f>
        <v>8</v>
      </c>
      <c r="G306" t="s">
        <v>88</v>
      </c>
      <c r="H306" t="s">
        <v>48</v>
      </c>
      <c r="I306" t="s">
        <v>42</v>
      </c>
      <c r="J306">
        <v>2098</v>
      </c>
      <c r="K306">
        <v>25176</v>
      </c>
      <c r="L306">
        <v>4.5</v>
      </c>
      <c r="M306">
        <v>0</v>
      </c>
      <c r="N306">
        <v>0</v>
      </c>
      <c r="O306">
        <v>3</v>
      </c>
    </row>
    <row r="307" spans="1:15" x14ac:dyDescent="0.3">
      <c r="A307">
        <v>306</v>
      </c>
      <c r="B307" t="s">
        <v>33</v>
      </c>
      <c r="C307" t="s">
        <v>484</v>
      </c>
      <c r="D307" t="s">
        <v>32</v>
      </c>
      <c r="E307" s="1">
        <v>43607</v>
      </c>
      <c r="F307" s="2">
        <f ca="1">DATEDIF(EmpTable[[#This Row],[Start Date]],TODAY(),"Y")</f>
        <v>7</v>
      </c>
      <c r="G307" t="s">
        <v>58</v>
      </c>
      <c r="H307" t="s">
        <v>29</v>
      </c>
      <c r="I307" t="s">
        <v>42</v>
      </c>
      <c r="J307">
        <v>2302</v>
      </c>
      <c r="K307">
        <v>27624</v>
      </c>
      <c r="L307">
        <v>3</v>
      </c>
      <c r="M307">
        <v>6</v>
      </c>
      <c r="N307">
        <v>0</v>
      </c>
      <c r="O307">
        <v>6</v>
      </c>
    </row>
    <row r="308" spans="1:15" x14ac:dyDescent="0.3">
      <c r="A308">
        <v>307</v>
      </c>
      <c r="B308" t="s">
        <v>327</v>
      </c>
      <c r="C308" t="s">
        <v>485</v>
      </c>
      <c r="D308" t="s">
        <v>32</v>
      </c>
      <c r="E308" s="1">
        <v>43565</v>
      </c>
      <c r="F308" s="2">
        <f ca="1">DATEDIF(EmpTable[[#This Row],[Start Date]],TODAY(),"Y")</f>
        <v>7</v>
      </c>
      <c r="G308" t="s">
        <v>53</v>
      </c>
      <c r="H308" t="s">
        <v>18</v>
      </c>
      <c r="I308" t="s">
        <v>42</v>
      </c>
      <c r="J308">
        <v>1623</v>
      </c>
      <c r="K308">
        <v>19476</v>
      </c>
      <c r="L308">
        <v>1</v>
      </c>
      <c r="M308">
        <v>6</v>
      </c>
      <c r="N308">
        <v>0</v>
      </c>
      <c r="O308">
        <v>4</v>
      </c>
    </row>
    <row r="309" spans="1:15" x14ac:dyDescent="0.3">
      <c r="A309">
        <v>308</v>
      </c>
      <c r="B309" t="s">
        <v>486</v>
      </c>
      <c r="C309" t="s">
        <v>487</v>
      </c>
      <c r="D309" t="s">
        <v>307</v>
      </c>
      <c r="E309" s="1">
        <v>43537</v>
      </c>
      <c r="F309" s="2">
        <f ca="1">DATEDIF(EmpTable[[#This Row],[Start Date]],TODAY(),"Y")</f>
        <v>7</v>
      </c>
      <c r="G309" t="s">
        <v>77</v>
      </c>
      <c r="H309" t="s">
        <v>294</v>
      </c>
      <c r="I309" t="s">
        <v>42</v>
      </c>
      <c r="J309">
        <v>1333</v>
      </c>
      <c r="K309">
        <v>15996</v>
      </c>
      <c r="L309">
        <v>3</v>
      </c>
      <c r="M309">
        <v>1</v>
      </c>
      <c r="N309">
        <v>6</v>
      </c>
      <c r="O309">
        <v>10</v>
      </c>
    </row>
    <row r="310" spans="1:15" x14ac:dyDescent="0.3">
      <c r="A310">
        <v>309</v>
      </c>
      <c r="B310" t="s">
        <v>33</v>
      </c>
      <c r="C310" t="s">
        <v>488</v>
      </c>
      <c r="D310" t="s">
        <v>32</v>
      </c>
      <c r="E310" s="1">
        <v>42692</v>
      </c>
      <c r="F310" s="2">
        <f ca="1">DATEDIF(EmpTable[[#This Row],[Start Date]],TODAY(),"Y")</f>
        <v>9</v>
      </c>
      <c r="G310" t="s">
        <v>17</v>
      </c>
      <c r="H310" t="s">
        <v>29</v>
      </c>
      <c r="I310" t="s">
        <v>42</v>
      </c>
      <c r="J310">
        <v>1431</v>
      </c>
      <c r="K310">
        <v>17172</v>
      </c>
      <c r="L310">
        <v>5</v>
      </c>
      <c r="M310">
        <v>0</v>
      </c>
      <c r="N310">
        <v>0</v>
      </c>
      <c r="O310">
        <v>4</v>
      </c>
    </row>
    <row r="311" spans="1:15" x14ac:dyDescent="0.3">
      <c r="A311">
        <v>310</v>
      </c>
      <c r="B311" t="s">
        <v>489</v>
      </c>
      <c r="C311" t="s">
        <v>490</v>
      </c>
      <c r="D311" t="s">
        <v>307</v>
      </c>
      <c r="E311" s="1">
        <v>43823</v>
      </c>
      <c r="F311" s="2">
        <f ca="1">DATEDIF(EmpTable[[#This Row],[Start Date]],TODAY(),"Y")</f>
        <v>6</v>
      </c>
      <c r="G311" t="s">
        <v>28</v>
      </c>
      <c r="H311" t="s">
        <v>18</v>
      </c>
      <c r="I311" t="s">
        <v>19</v>
      </c>
      <c r="J311">
        <v>2527</v>
      </c>
      <c r="K311">
        <v>30324</v>
      </c>
      <c r="L311">
        <v>3</v>
      </c>
      <c r="M311">
        <v>0</v>
      </c>
      <c r="N311">
        <v>0</v>
      </c>
      <c r="O311">
        <v>98</v>
      </c>
    </row>
    <row r="312" spans="1:15" x14ac:dyDescent="0.3">
      <c r="A312">
        <v>311</v>
      </c>
      <c r="B312" t="s">
        <v>310</v>
      </c>
      <c r="C312" t="s">
        <v>491</v>
      </c>
      <c r="D312" t="s">
        <v>307</v>
      </c>
      <c r="E312" s="1">
        <v>42772</v>
      </c>
      <c r="F312" s="2">
        <f ca="1">DATEDIF(EmpTable[[#This Row],[Start Date]],TODAY(),"Y")</f>
        <v>9</v>
      </c>
      <c r="G312" t="s">
        <v>28</v>
      </c>
      <c r="H312" t="s">
        <v>18</v>
      </c>
      <c r="I312" t="s">
        <v>60</v>
      </c>
      <c r="J312">
        <v>2631</v>
      </c>
      <c r="K312">
        <v>31572</v>
      </c>
      <c r="L312">
        <v>3</v>
      </c>
      <c r="M312">
        <v>0</v>
      </c>
      <c r="N312">
        <v>0</v>
      </c>
      <c r="O312">
        <v>7</v>
      </c>
    </row>
    <row r="313" spans="1:15" x14ac:dyDescent="0.3">
      <c r="A313">
        <v>312</v>
      </c>
      <c r="B313" t="s">
        <v>127</v>
      </c>
      <c r="C313" t="s">
        <v>492</v>
      </c>
      <c r="D313" t="s">
        <v>32</v>
      </c>
      <c r="E313" s="1">
        <v>43171</v>
      </c>
      <c r="F313" s="2">
        <f ca="1">DATEDIF(EmpTable[[#This Row],[Start Date]],TODAY(),"Y")</f>
        <v>8</v>
      </c>
      <c r="G313" t="s">
        <v>58</v>
      </c>
      <c r="H313" t="s">
        <v>18</v>
      </c>
      <c r="I313" t="s">
        <v>19</v>
      </c>
      <c r="J313">
        <v>1600</v>
      </c>
      <c r="K313">
        <v>19200</v>
      </c>
      <c r="L313">
        <v>4.5</v>
      </c>
      <c r="M313">
        <v>0</v>
      </c>
      <c r="N313">
        <v>0</v>
      </c>
      <c r="O313">
        <v>0</v>
      </c>
    </row>
    <row r="314" spans="1:15" x14ac:dyDescent="0.3">
      <c r="A314">
        <v>313</v>
      </c>
      <c r="B314" t="s">
        <v>493</v>
      </c>
      <c r="C314" t="s">
        <v>494</v>
      </c>
      <c r="D314" t="s">
        <v>32</v>
      </c>
      <c r="E314" s="1">
        <v>44181</v>
      </c>
      <c r="F314" s="2">
        <f ca="1">DATEDIF(EmpTable[[#This Row],[Start Date]],TODAY(),"Y")</f>
        <v>5</v>
      </c>
      <c r="G314" t="s">
        <v>93</v>
      </c>
      <c r="H314" t="s">
        <v>18</v>
      </c>
      <c r="I314" t="s">
        <v>42</v>
      </c>
      <c r="J314">
        <v>2752</v>
      </c>
      <c r="K314">
        <v>33024</v>
      </c>
      <c r="L314">
        <v>5</v>
      </c>
      <c r="M314">
        <v>0</v>
      </c>
      <c r="N314">
        <v>0</v>
      </c>
      <c r="O314">
        <v>4</v>
      </c>
    </row>
    <row r="315" spans="1:15" x14ac:dyDescent="0.3">
      <c r="A315">
        <v>314</v>
      </c>
      <c r="B315" t="s">
        <v>59</v>
      </c>
      <c r="C315" t="s">
        <v>344</v>
      </c>
      <c r="D315" t="s">
        <v>307</v>
      </c>
      <c r="E315" s="1">
        <v>43998</v>
      </c>
      <c r="F315" s="2">
        <f ca="1">DATEDIF(EmpTable[[#This Row],[Start Date]],TODAY(),"Y")</f>
        <v>6</v>
      </c>
      <c r="G315" t="s">
        <v>17</v>
      </c>
      <c r="H315" t="s">
        <v>18</v>
      </c>
      <c r="I315" t="s">
        <v>42</v>
      </c>
      <c r="J315">
        <v>3125</v>
      </c>
      <c r="K315">
        <v>37500</v>
      </c>
      <c r="L315">
        <v>5</v>
      </c>
      <c r="M315">
        <v>0</v>
      </c>
      <c r="N315">
        <v>0</v>
      </c>
      <c r="O315">
        <v>5</v>
      </c>
    </row>
    <row r="316" spans="1:15" x14ac:dyDescent="0.3">
      <c r="A316">
        <v>315</v>
      </c>
      <c r="B316" t="s">
        <v>495</v>
      </c>
      <c r="C316" t="s">
        <v>496</v>
      </c>
      <c r="D316" t="s">
        <v>307</v>
      </c>
      <c r="E316" s="1">
        <v>43648</v>
      </c>
      <c r="F316" s="2">
        <f ca="1">DATEDIF(EmpTable[[#This Row],[Start Date]],TODAY(),"Y")</f>
        <v>7</v>
      </c>
      <c r="G316" t="s">
        <v>50</v>
      </c>
      <c r="H316" t="s">
        <v>22</v>
      </c>
      <c r="I316" t="s">
        <v>19</v>
      </c>
      <c r="J316">
        <v>2091</v>
      </c>
      <c r="K316">
        <v>25092</v>
      </c>
      <c r="L316">
        <v>2</v>
      </c>
      <c r="M316">
        <v>0</v>
      </c>
      <c r="N316">
        <v>1</v>
      </c>
      <c r="O316">
        <v>9</v>
      </c>
    </row>
    <row r="317" spans="1:15" x14ac:dyDescent="0.3">
      <c r="A317">
        <v>316</v>
      </c>
      <c r="B317" t="s">
        <v>497</v>
      </c>
      <c r="C317" t="s">
        <v>498</v>
      </c>
      <c r="D317" t="s">
        <v>307</v>
      </c>
      <c r="E317" s="1">
        <v>42726</v>
      </c>
      <c r="F317" s="2">
        <f ca="1">DATEDIF(EmpTable[[#This Row],[Start Date]],TODAY(),"Y")</f>
        <v>9</v>
      </c>
      <c r="G317" t="s">
        <v>58</v>
      </c>
      <c r="H317" t="s">
        <v>29</v>
      </c>
      <c r="I317" t="s">
        <v>42</v>
      </c>
      <c r="J317">
        <v>1009</v>
      </c>
      <c r="K317">
        <v>12108</v>
      </c>
      <c r="L317">
        <v>4.5</v>
      </c>
      <c r="M317">
        <v>0</v>
      </c>
      <c r="N317">
        <v>0</v>
      </c>
      <c r="O317">
        <v>17</v>
      </c>
    </row>
    <row r="318" spans="1:15" x14ac:dyDescent="0.3">
      <c r="A318">
        <v>317</v>
      </c>
      <c r="B318" t="s">
        <v>33</v>
      </c>
      <c r="C318" t="s">
        <v>142</v>
      </c>
      <c r="D318" t="s">
        <v>32</v>
      </c>
      <c r="E318" s="1">
        <v>44115</v>
      </c>
      <c r="F318" s="2">
        <f ca="1">DATEDIF(EmpTable[[#This Row],[Start Date]],TODAY(),"Y")</f>
        <v>5</v>
      </c>
      <c r="G318" t="s">
        <v>17</v>
      </c>
      <c r="H318" t="s">
        <v>22</v>
      </c>
      <c r="I318" t="s">
        <v>42</v>
      </c>
      <c r="J318">
        <v>3443</v>
      </c>
      <c r="K318">
        <v>41316</v>
      </c>
      <c r="L318">
        <v>1</v>
      </c>
      <c r="M318">
        <v>0</v>
      </c>
      <c r="N318">
        <v>0</v>
      </c>
      <c r="O318">
        <v>1</v>
      </c>
    </row>
    <row r="319" spans="1:15" x14ac:dyDescent="0.3">
      <c r="A319">
        <v>318</v>
      </c>
      <c r="B319" t="s">
        <v>499</v>
      </c>
      <c r="C319" t="s">
        <v>500</v>
      </c>
      <c r="D319" t="s">
        <v>307</v>
      </c>
      <c r="E319" s="1">
        <v>43182</v>
      </c>
      <c r="F319" s="2">
        <f ca="1">DATEDIF(EmpTable[[#This Row],[Start Date]],TODAY(),"Y")</f>
        <v>8</v>
      </c>
      <c r="G319" t="s">
        <v>28</v>
      </c>
      <c r="H319" t="s">
        <v>48</v>
      </c>
      <c r="I319" t="s">
        <v>19</v>
      </c>
      <c r="J319">
        <v>1582</v>
      </c>
      <c r="K319">
        <v>18984</v>
      </c>
      <c r="L319">
        <v>4.5</v>
      </c>
      <c r="M319">
        <v>0</v>
      </c>
      <c r="N319">
        <v>0</v>
      </c>
      <c r="O319">
        <v>5</v>
      </c>
    </row>
    <row r="320" spans="1:15" x14ac:dyDescent="0.3">
      <c r="A320">
        <v>319</v>
      </c>
      <c r="B320" t="s">
        <v>501</v>
      </c>
      <c r="C320" t="s">
        <v>502</v>
      </c>
      <c r="D320" t="s">
        <v>307</v>
      </c>
      <c r="E320" s="1">
        <v>43528</v>
      </c>
      <c r="F320" s="2">
        <f ca="1">DATEDIF(EmpTable[[#This Row],[Start Date]],TODAY(),"Y")</f>
        <v>7</v>
      </c>
      <c r="G320" t="s">
        <v>58</v>
      </c>
      <c r="H320" t="s">
        <v>29</v>
      </c>
      <c r="I320" t="s">
        <v>36</v>
      </c>
      <c r="J320">
        <v>2103</v>
      </c>
      <c r="K320">
        <v>25236</v>
      </c>
      <c r="L320">
        <v>5</v>
      </c>
      <c r="M320">
        <v>1</v>
      </c>
      <c r="N320">
        <v>1</v>
      </c>
      <c r="O320">
        <v>2</v>
      </c>
    </row>
    <row r="321" spans="1:15" x14ac:dyDescent="0.3">
      <c r="A321">
        <v>320</v>
      </c>
      <c r="B321" t="s">
        <v>503</v>
      </c>
      <c r="C321" t="s">
        <v>504</v>
      </c>
      <c r="D321" t="s">
        <v>307</v>
      </c>
      <c r="E321" s="1">
        <v>43106</v>
      </c>
      <c r="F321" s="2">
        <f ca="1">DATEDIF(EmpTable[[#This Row],[Start Date]],TODAY(),"Y")</f>
        <v>8</v>
      </c>
      <c r="G321" t="s">
        <v>93</v>
      </c>
      <c r="H321" t="s">
        <v>18</v>
      </c>
      <c r="I321" t="s">
        <v>42</v>
      </c>
      <c r="J321">
        <v>3108</v>
      </c>
      <c r="K321">
        <v>37296</v>
      </c>
      <c r="L321">
        <v>1</v>
      </c>
      <c r="M321">
        <v>0</v>
      </c>
      <c r="N321">
        <v>0</v>
      </c>
      <c r="O321">
        <v>45</v>
      </c>
    </row>
    <row r="322" spans="1:15" x14ac:dyDescent="0.3">
      <c r="A322">
        <v>321</v>
      </c>
      <c r="B322" t="s">
        <v>30</v>
      </c>
      <c r="C322" t="s">
        <v>505</v>
      </c>
      <c r="D322" t="s">
        <v>32</v>
      </c>
      <c r="E322" s="1">
        <v>42601</v>
      </c>
      <c r="F322" s="2">
        <f ca="1">DATEDIF(EmpTable[[#This Row],[Start Date]],TODAY(),"Y")</f>
        <v>10</v>
      </c>
      <c r="G322" t="s">
        <v>28</v>
      </c>
      <c r="H322" t="s">
        <v>18</v>
      </c>
      <c r="I322" t="s">
        <v>42</v>
      </c>
      <c r="J322">
        <v>1810</v>
      </c>
      <c r="K322">
        <v>21720</v>
      </c>
      <c r="L322">
        <v>3</v>
      </c>
      <c r="M322">
        <v>0</v>
      </c>
      <c r="N322">
        <v>0</v>
      </c>
      <c r="O322">
        <v>5</v>
      </c>
    </row>
    <row r="323" spans="1:15" x14ac:dyDescent="0.3">
      <c r="A323">
        <v>322</v>
      </c>
      <c r="B323" t="s">
        <v>506</v>
      </c>
      <c r="C323" t="s">
        <v>507</v>
      </c>
      <c r="D323" t="s">
        <v>32</v>
      </c>
      <c r="E323" s="1">
        <v>43322</v>
      </c>
      <c r="F323" s="2">
        <f ca="1">DATEDIF(EmpTable[[#This Row],[Start Date]],TODAY(),"Y")</f>
        <v>8</v>
      </c>
      <c r="G323" t="s">
        <v>118</v>
      </c>
      <c r="H323" t="s">
        <v>22</v>
      </c>
      <c r="I323" t="s">
        <v>19</v>
      </c>
      <c r="J323">
        <v>2312</v>
      </c>
      <c r="K323">
        <v>27744</v>
      </c>
      <c r="L323">
        <v>3</v>
      </c>
      <c r="M323">
        <v>3</v>
      </c>
      <c r="N323">
        <v>0</v>
      </c>
      <c r="O323">
        <v>10</v>
      </c>
    </row>
    <row r="324" spans="1:15" x14ac:dyDescent="0.3">
      <c r="A324">
        <v>323</v>
      </c>
      <c r="B324" t="s">
        <v>300</v>
      </c>
      <c r="C324" t="s">
        <v>374</v>
      </c>
      <c r="D324" t="s">
        <v>307</v>
      </c>
      <c r="E324" s="1">
        <v>43993</v>
      </c>
      <c r="F324" s="2">
        <f ca="1">DATEDIF(EmpTable[[#This Row],[Start Date]],TODAY(),"Y")</f>
        <v>6</v>
      </c>
      <c r="G324" t="s">
        <v>53</v>
      </c>
      <c r="H324" t="s">
        <v>18</v>
      </c>
      <c r="I324" t="s">
        <v>42</v>
      </c>
      <c r="J324">
        <v>2783</v>
      </c>
      <c r="K324">
        <v>33396</v>
      </c>
      <c r="L324">
        <v>1</v>
      </c>
      <c r="M324">
        <v>2</v>
      </c>
      <c r="N324">
        <v>0</v>
      </c>
      <c r="O324">
        <v>15</v>
      </c>
    </row>
    <row r="325" spans="1:15" x14ac:dyDescent="0.3">
      <c r="A325">
        <v>324</v>
      </c>
      <c r="B325" t="s">
        <v>33</v>
      </c>
      <c r="C325" t="s">
        <v>508</v>
      </c>
      <c r="D325" t="s">
        <v>32</v>
      </c>
      <c r="E325" s="1">
        <v>44167</v>
      </c>
      <c r="F325" s="2">
        <f ca="1">DATEDIF(EmpTable[[#This Row],[Start Date]],TODAY(),"Y")</f>
        <v>5</v>
      </c>
      <c r="G325" t="s">
        <v>17</v>
      </c>
      <c r="H325" t="s">
        <v>18</v>
      </c>
      <c r="I325" t="s">
        <v>42</v>
      </c>
      <c r="J325">
        <v>3428</v>
      </c>
      <c r="K325">
        <v>41136</v>
      </c>
      <c r="L325">
        <v>3</v>
      </c>
      <c r="M325">
        <v>5</v>
      </c>
      <c r="N325">
        <v>0</v>
      </c>
      <c r="O325">
        <v>10</v>
      </c>
    </row>
    <row r="326" spans="1:15" x14ac:dyDescent="0.3">
      <c r="A326">
        <v>325</v>
      </c>
      <c r="B326" t="s">
        <v>509</v>
      </c>
      <c r="C326" t="s">
        <v>198</v>
      </c>
      <c r="D326" t="s">
        <v>32</v>
      </c>
      <c r="E326" s="1">
        <v>43136</v>
      </c>
      <c r="F326" s="2">
        <f ca="1">DATEDIF(EmpTable[[#This Row],[Start Date]],TODAY(),"Y")</f>
        <v>8</v>
      </c>
      <c r="G326" t="s">
        <v>41</v>
      </c>
      <c r="H326" t="s">
        <v>18</v>
      </c>
      <c r="I326" t="s">
        <v>36</v>
      </c>
      <c r="J326">
        <v>3450</v>
      </c>
      <c r="K326">
        <v>41400</v>
      </c>
      <c r="L326">
        <v>2</v>
      </c>
      <c r="M326">
        <v>0</v>
      </c>
      <c r="N326">
        <v>4</v>
      </c>
      <c r="O326">
        <v>9</v>
      </c>
    </row>
    <row r="327" spans="1:15" x14ac:dyDescent="0.3">
      <c r="A327">
        <v>326</v>
      </c>
      <c r="B327" t="s">
        <v>33</v>
      </c>
      <c r="C327" t="s">
        <v>510</v>
      </c>
      <c r="D327" t="s">
        <v>32</v>
      </c>
      <c r="E327" s="1">
        <v>43362</v>
      </c>
      <c r="F327" s="2">
        <f ca="1">DATEDIF(EmpTable[[#This Row],[Start Date]],TODAY(),"Y")</f>
        <v>7</v>
      </c>
      <c r="G327" t="s">
        <v>353</v>
      </c>
      <c r="H327" t="s">
        <v>29</v>
      </c>
      <c r="I327" t="s">
        <v>42</v>
      </c>
      <c r="J327">
        <v>1226</v>
      </c>
      <c r="K327">
        <v>14712</v>
      </c>
      <c r="L327">
        <v>2</v>
      </c>
      <c r="M327">
        <v>6</v>
      </c>
      <c r="N327">
        <v>5</v>
      </c>
      <c r="O327">
        <v>4</v>
      </c>
    </row>
    <row r="328" spans="1:15" x14ac:dyDescent="0.3">
      <c r="A328">
        <v>327</v>
      </c>
      <c r="B328" t="s">
        <v>33</v>
      </c>
      <c r="C328" t="s">
        <v>64</v>
      </c>
      <c r="D328" t="s">
        <v>32</v>
      </c>
      <c r="E328" s="1">
        <v>43707</v>
      </c>
      <c r="F328" s="2">
        <f ca="1">DATEDIF(EmpTable[[#This Row],[Start Date]],TODAY(),"Y")</f>
        <v>7</v>
      </c>
      <c r="G328" t="s">
        <v>77</v>
      </c>
      <c r="H328" t="s">
        <v>18</v>
      </c>
      <c r="I328" t="s">
        <v>36</v>
      </c>
      <c r="J328">
        <v>3219</v>
      </c>
      <c r="K328">
        <v>38628</v>
      </c>
      <c r="L328">
        <v>3</v>
      </c>
      <c r="M328">
        <v>0</v>
      </c>
      <c r="N328">
        <v>0</v>
      </c>
      <c r="O328">
        <v>5</v>
      </c>
    </row>
    <row r="329" spans="1:15" x14ac:dyDescent="0.3">
      <c r="A329">
        <v>328</v>
      </c>
      <c r="B329" t="s">
        <v>170</v>
      </c>
      <c r="C329" t="s">
        <v>511</v>
      </c>
      <c r="D329" t="s">
        <v>32</v>
      </c>
      <c r="E329" s="1">
        <v>43574</v>
      </c>
      <c r="F329" s="2">
        <f ca="1">DATEDIF(EmpTable[[#This Row],[Start Date]],TODAY(),"Y")</f>
        <v>7</v>
      </c>
      <c r="G329" t="s">
        <v>17</v>
      </c>
      <c r="H329" t="s">
        <v>22</v>
      </c>
      <c r="I329" t="s">
        <v>42</v>
      </c>
      <c r="J329">
        <v>2060</v>
      </c>
      <c r="K329">
        <v>24720</v>
      </c>
      <c r="L329">
        <v>5</v>
      </c>
      <c r="M329">
        <v>0</v>
      </c>
      <c r="N329">
        <v>0</v>
      </c>
      <c r="O329">
        <v>14</v>
      </c>
    </row>
    <row r="330" spans="1:15" x14ac:dyDescent="0.3">
      <c r="A330">
        <v>329</v>
      </c>
      <c r="B330" t="s">
        <v>37</v>
      </c>
      <c r="C330" t="s">
        <v>512</v>
      </c>
      <c r="D330" t="s">
        <v>307</v>
      </c>
      <c r="E330" s="1">
        <v>43483</v>
      </c>
      <c r="F330" s="2">
        <f ca="1">DATEDIF(EmpTable[[#This Row],[Start Date]],TODAY(),"Y")</f>
        <v>7</v>
      </c>
      <c r="G330" t="s">
        <v>50</v>
      </c>
      <c r="H330" t="s">
        <v>48</v>
      </c>
      <c r="I330" t="s">
        <v>42</v>
      </c>
      <c r="J330">
        <v>2479</v>
      </c>
      <c r="K330">
        <v>29748</v>
      </c>
      <c r="L330">
        <v>5</v>
      </c>
      <c r="M330">
        <v>0</v>
      </c>
      <c r="N330">
        <v>2</v>
      </c>
      <c r="O330">
        <v>3</v>
      </c>
    </row>
    <row r="331" spans="1:15" x14ac:dyDescent="0.3">
      <c r="A331">
        <v>330</v>
      </c>
      <c r="B331" t="s">
        <v>375</v>
      </c>
      <c r="C331" t="s">
        <v>513</v>
      </c>
      <c r="D331" t="s">
        <v>307</v>
      </c>
      <c r="E331" s="1">
        <v>43248</v>
      </c>
      <c r="F331" s="2">
        <f ca="1">DATEDIF(EmpTable[[#This Row],[Start Date]],TODAY(),"Y")</f>
        <v>8</v>
      </c>
      <c r="G331" t="s">
        <v>35</v>
      </c>
      <c r="H331" t="s">
        <v>29</v>
      </c>
      <c r="I331" t="s">
        <v>42</v>
      </c>
      <c r="J331">
        <v>2106</v>
      </c>
      <c r="K331">
        <v>25272</v>
      </c>
      <c r="L331">
        <v>3</v>
      </c>
      <c r="M331">
        <v>0</v>
      </c>
      <c r="N331">
        <v>0</v>
      </c>
      <c r="O331">
        <v>9</v>
      </c>
    </row>
    <row r="332" spans="1:15" x14ac:dyDescent="0.3">
      <c r="A332">
        <v>331</v>
      </c>
      <c r="B332" t="s">
        <v>295</v>
      </c>
      <c r="C332" t="s">
        <v>514</v>
      </c>
      <c r="D332" t="s">
        <v>307</v>
      </c>
      <c r="E332" s="1">
        <v>43623</v>
      </c>
      <c r="F332" s="2">
        <f ca="1">DATEDIF(EmpTable[[#This Row],[Start Date]],TODAY(),"Y")</f>
        <v>7</v>
      </c>
      <c r="G332" t="s">
        <v>28</v>
      </c>
      <c r="H332" t="s">
        <v>22</v>
      </c>
      <c r="I332" t="s">
        <v>60</v>
      </c>
      <c r="J332">
        <v>1480</v>
      </c>
      <c r="K332">
        <v>17760</v>
      </c>
      <c r="L332">
        <v>2</v>
      </c>
      <c r="M332">
        <v>0</v>
      </c>
      <c r="N332">
        <v>0</v>
      </c>
      <c r="O332">
        <v>10</v>
      </c>
    </row>
    <row r="333" spans="1:15" x14ac:dyDescent="0.3">
      <c r="A333">
        <v>332</v>
      </c>
      <c r="B333" t="s">
        <v>515</v>
      </c>
      <c r="C333" t="s">
        <v>516</v>
      </c>
      <c r="D333" t="s">
        <v>307</v>
      </c>
      <c r="E333" s="1">
        <v>43058</v>
      </c>
      <c r="F333" s="2">
        <f ca="1">DATEDIF(EmpTable[[#This Row],[Start Date]],TODAY(),"Y")</f>
        <v>8</v>
      </c>
      <c r="G333" t="s">
        <v>28</v>
      </c>
      <c r="H333" t="s">
        <v>18</v>
      </c>
      <c r="I333" t="s">
        <v>19</v>
      </c>
      <c r="J333">
        <v>994</v>
      </c>
      <c r="K333">
        <v>11928</v>
      </c>
      <c r="L333">
        <v>1</v>
      </c>
      <c r="M333">
        <v>0</v>
      </c>
      <c r="N333">
        <v>0</v>
      </c>
      <c r="O333">
        <v>9</v>
      </c>
    </row>
    <row r="334" spans="1:15" x14ac:dyDescent="0.3">
      <c r="A334">
        <v>333</v>
      </c>
      <c r="B334" t="s">
        <v>30</v>
      </c>
      <c r="C334" t="s">
        <v>517</v>
      </c>
      <c r="D334" t="s">
        <v>32</v>
      </c>
      <c r="E334" s="1">
        <v>43797</v>
      </c>
      <c r="F334" s="2">
        <f ca="1">DATEDIF(EmpTable[[#This Row],[Start Date]],TODAY(),"Y")</f>
        <v>6</v>
      </c>
      <c r="G334" t="s">
        <v>53</v>
      </c>
      <c r="H334" t="s">
        <v>29</v>
      </c>
      <c r="I334" t="s">
        <v>42</v>
      </c>
      <c r="J334">
        <v>2119</v>
      </c>
      <c r="K334">
        <v>25428</v>
      </c>
      <c r="L334">
        <v>4.5</v>
      </c>
      <c r="M334">
        <v>1</v>
      </c>
      <c r="N334">
        <v>5</v>
      </c>
      <c r="O334">
        <v>0</v>
      </c>
    </row>
    <row r="335" spans="1:15" x14ac:dyDescent="0.3">
      <c r="A335">
        <v>334</v>
      </c>
      <c r="B335" t="s">
        <v>518</v>
      </c>
      <c r="C335" t="s">
        <v>519</v>
      </c>
      <c r="D335" t="s">
        <v>32</v>
      </c>
      <c r="E335" s="1">
        <v>43378</v>
      </c>
      <c r="F335" s="2">
        <f ca="1">DATEDIF(EmpTable[[#This Row],[Start Date]],TODAY(),"Y")</f>
        <v>7</v>
      </c>
      <c r="G335" t="s">
        <v>50</v>
      </c>
      <c r="H335" t="s">
        <v>18</v>
      </c>
      <c r="I335" t="s">
        <v>42</v>
      </c>
      <c r="J335">
        <v>1577</v>
      </c>
      <c r="K335">
        <v>18924</v>
      </c>
      <c r="L335">
        <v>4.5</v>
      </c>
      <c r="M335">
        <v>0</v>
      </c>
      <c r="N335">
        <v>0</v>
      </c>
      <c r="O335">
        <v>7</v>
      </c>
    </row>
    <row r="336" spans="1:15" x14ac:dyDescent="0.3">
      <c r="A336">
        <v>335</v>
      </c>
      <c r="B336" t="s">
        <v>49</v>
      </c>
      <c r="C336" t="s">
        <v>520</v>
      </c>
      <c r="D336" t="s">
        <v>32</v>
      </c>
      <c r="E336" s="1">
        <v>43224</v>
      </c>
      <c r="F336" s="2">
        <f ca="1">DATEDIF(EmpTable[[#This Row],[Start Date]],TODAY(),"Y")</f>
        <v>8</v>
      </c>
      <c r="G336" t="s">
        <v>17</v>
      </c>
      <c r="H336" t="s">
        <v>29</v>
      </c>
      <c r="I336" t="s">
        <v>42</v>
      </c>
      <c r="J336">
        <v>3160</v>
      </c>
      <c r="K336">
        <v>37920</v>
      </c>
      <c r="L336">
        <v>5</v>
      </c>
      <c r="M336">
        <v>0</v>
      </c>
      <c r="N336">
        <v>5</v>
      </c>
      <c r="O336">
        <v>10</v>
      </c>
    </row>
    <row r="337" spans="1:15" x14ac:dyDescent="0.3">
      <c r="A337">
        <v>336</v>
      </c>
      <c r="B337" t="s">
        <v>64</v>
      </c>
      <c r="C337" t="s">
        <v>521</v>
      </c>
      <c r="D337" t="s">
        <v>32</v>
      </c>
      <c r="E337" s="1">
        <v>44123</v>
      </c>
      <c r="F337" s="2">
        <f ca="1">DATEDIF(EmpTable[[#This Row],[Start Date]],TODAY(),"Y")</f>
        <v>5</v>
      </c>
      <c r="G337" t="s">
        <v>88</v>
      </c>
      <c r="H337" t="s">
        <v>22</v>
      </c>
      <c r="I337" t="s">
        <v>42</v>
      </c>
      <c r="J337">
        <v>2692</v>
      </c>
      <c r="K337">
        <v>32304</v>
      </c>
      <c r="L337">
        <v>1</v>
      </c>
      <c r="M337">
        <v>4</v>
      </c>
      <c r="N337">
        <v>0</v>
      </c>
      <c r="O337">
        <v>6</v>
      </c>
    </row>
    <row r="338" spans="1:15" x14ac:dyDescent="0.3">
      <c r="A338">
        <v>337</v>
      </c>
      <c r="B338" t="s">
        <v>522</v>
      </c>
      <c r="C338" t="s">
        <v>523</v>
      </c>
      <c r="D338" t="s">
        <v>32</v>
      </c>
      <c r="E338" s="1">
        <v>43430</v>
      </c>
      <c r="F338" s="2">
        <f ca="1">DATEDIF(EmpTable[[#This Row],[Start Date]],TODAY(),"Y")</f>
        <v>7</v>
      </c>
      <c r="G338" t="s">
        <v>41</v>
      </c>
      <c r="H338" t="s">
        <v>29</v>
      </c>
      <c r="I338" t="s">
        <v>60</v>
      </c>
      <c r="J338">
        <v>1448</v>
      </c>
      <c r="K338">
        <v>17376</v>
      </c>
      <c r="L338">
        <v>4.5</v>
      </c>
      <c r="M338">
        <v>0</v>
      </c>
      <c r="N338">
        <v>0</v>
      </c>
      <c r="O338">
        <v>1</v>
      </c>
    </row>
    <row r="339" spans="1:15" x14ac:dyDescent="0.3">
      <c r="A339">
        <v>338</v>
      </c>
      <c r="B339" t="s">
        <v>524</v>
      </c>
      <c r="C339" t="s">
        <v>525</v>
      </c>
      <c r="D339" t="s">
        <v>307</v>
      </c>
      <c r="E339" s="1">
        <v>43541</v>
      </c>
      <c r="F339" s="2">
        <f ca="1">DATEDIF(EmpTable[[#This Row],[Start Date]],TODAY(),"Y")</f>
        <v>7</v>
      </c>
      <c r="G339" t="s">
        <v>28</v>
      </c>
      <c r="H339" t="s">
        <v>18</v>
      </c>
      <c r="I339" t="s">
        <v>19</v>
      </c>
      <c r="J339">
        <v>1568</v>
      </c>
      <c r="K339">
        <v>18816</v>
      </c>
      <c r="L339">
        <v>3</v>
      </c>
      <c r="M339">
        <v>5</v>
      </c>
      <c r="N339">
        <v>0</v>
      </c>
      <c r="O339">
        <v>7</v>
      </c>
    </row>
    <row r="340" spans="1:15" x14ac:dyDescent="0.3">
      <c r="A340">
        <v>339</v>
      </c>
      <c r="B340" t="s">
        <v>437</v>
      </c>
      <c r="C340" t="s">
        <v>526</v>
      </c>
      <c r="D340" t="s">
        <v>32</v>
      </c>
      <c r="E340" s="1">
        <v>42724</v>
      </c>
      <c r="F340" s="2">
        <f ca="1">DATEDIF(EmpTable[[#This Row],[Start Date]],TODAY(),"Y")</f>
        <v>9</v>
      </c>
      <c r="G340" t="s">
        <v>53</v>
      </c>
      <c r="H340" t="s">
        <v>18</v>
      </c>
      <c r="I340" t="s">
        <v>36</v>
      </c>
      <c r="J340">
        <v>1823</v>
      </c>
      <c r="K340">
        <v>21876</v>
      </c>
      <c r="L340">
        <v>4.5</v>
      </c>
      <c r="M340">
        <v>5</v>
      </c>
      <c r="N340">
        <v>0</v>
      </c>
      <c r="O340">
        <v>9</v>
      </c>
    </row>
    <row r="341" spans="1:15" x14ac:dyDescent="0.3">
      <c r="A341">
        <v>340</v>
      </c>
      <c r="B341" t="s">
        <v>527</v>
      </c>
      <c r="C341" t="s">
        <v>528</v>
      </c>
      <c r="D341" t="s">
        <v>32</v>
      </c>
      <c r="E341" s="1">
        <v>43512</v>
      </c>
      <c r="F341" s="2">
        <f ca="1">DATEDIF(EmpTable[[#This Row],[Start Date]],TODAY(),"Y")</f>
        <v>7</v>
      </c>
      <c r="G341" t="s">
        <v>28</v>
      </c>
      <c r="H341" t="s">
        <v>18</v>
      </c>
      <c r="I341" t="s">
        <v>19</v>
      </c>
      <c r="J341">
        <v>1712</v>
      </c>
      <c r="K341">
        <v>20544</v>
      </c>
      <c r="L341">
        <v>4.5</v>
      </c>
      <c r="M341">
        <v>0</v>
      </c>
      <c r="N341">
        <v>4</v>
      </c>
      <c r="O341">
        <v>15</v>
      </c>
    </row>
    <row r="342" spans="1:15" x14ac:dyDescent="0.3">
      <c r="A342">
        <v>341</v>
      </c>
      <c r="B342" t="s">
        <v>529</v>
      </c>
      <c r="C342" t="s">
        <v>530</v>
      </c>
      <c r="D342" t="s">
        <v>32</v>
      </c>
      <c r="E342" s="1">
        <v>44134</v>
      </c>
      <c r="F342" s="2">
        <f ca="1">DATEDIF(EmpTable[[#This Row],[Start Date]],TODAY(),"Y")</f>
        <v>5</v>
      </c>
      <c r="G342" t="s">
        <v>35</v>
      </c>
      <c r="H342" t="s">
        <v>29</v>
      </c>
      <c r="I342" t="s">
        <v>60</v>
      </c>
      <c r="J342">
        <v>744</v>
      </c>
      <c r="K342">
        <v>8928</v>
      </c>
      <c r="L342">
        <v>5</v>
      </c>
      <c r="M342">
        <v>5</v>
      </c>
      <c r="N342">
        <v>0</v>
      </c>
      <c r="O342">
        <v>8</v>
      </c>
    </row>
    <row r="343" spans="1:15" x14ac:dyDescent="0.3">
      <c r="A343">
        <v>342</v>
      </c>
      <c r="B343" t="s">
        <v>531</v>
      </c>
      <c r="C343" t="s">
        <v>532</v>
      </c>
      <c r="D343" t="s">
        <v>307</v>
      </c>
      <c r="E343" s="1">
        <v>42945</v>
      </c>
      <c r="F343" s="2">
        <f ca="1">DATEDIF(EmpTable[[#This Row],[Start Date]],TODAY(),"Y")</f>
        <v>9</v>
      </c>
      <c r="G343" t="s">
        <v>28</v>
      </c>
      <c r="H343" t="s">
        <v>18</v>
      </c>
      <c r="I343" t="s">
        <v>36</v>
      </c>
      <c r="J343">
        <v>2972</v>
      </c>
      <c r="K343">
        <v>35664</v>
      </c>
      <c r="L343">
        <v>5</v>
      </c>
      <c r="M343">
        <v>0</v>
      </c>
      <c r="N343">
        <v>4</v>
      </c>
      <c r="O343">
        <v>2</v>
      </c>
    </row>
    <row r="344" spans="1:15" x14ac:dyDescent="0.3">
      <c r="A344">
        <v>343</v>
      </c>
      <c r="B344" t="s">
        <v>457</v>
      </c>
      <c r="C344" t="s">
        <v>533</v>
      </c>
      <c r="D344" t="s">
        <v>32</v>
      </c>
      <c r="E344" s="1">
        <v>43785</v>
      </c>
      <c r="F344" s="2">
        <f ca="1">DATEDIF(EmpTable[[#This Row],[Start Date]],TODAY(),"Y")</f>
        <v>6</v>
      </c>
      <c r="G344" t="s">
        <v>41</v>
      </c>
      <c r="H344" t="s">
        <v>18</v>
      </c>
      <c r="I344" t="s">
        <v>36</v>
      </c>
      <c r="J344">
        <v>2931</v>
      </c>
      <c r="K344">
        <v>35172</v>
      </c>
      <c r="L344">
        <v>3</v>
      </c>
      <c r="M344">
        <v>6</v>
      </c>
      <c r="N344">
        <v>0</v>
      </c>
      <c r="O344">
        <v>71</v>
      </c>
    </row>
    <row r="345" spans="1:15" x14ac:dyDescent="0.3">
      <c r="A345">
        <v>344</v>
      </c>
      <c r="B345" t="s">
        <v>195</v>
      </c>
      <c r="C345" t="s">
        <v>534</v>
      </c>
      <c r="D345" t="s">
        <v>32</v>
      </c>
      <c r="E345" s="1">
        <v>43301</v>
      </c>
      <c r="F345" s="2">
        <f ca="1">DATEDIF(EmpTable[[#This Row],[Start Date]],TODAY(),"Y")</f>
        <v>8</v>
      </c>
      <c r="G345" t="s">
        <v>118</v>
      </c>
      <c r="H345" t="s">
        <v>48</v>
      </c>
      <c r="I345" t="s">
        <v>19</v>
      </c>
      <c r="J345">
        <v>2544</v>
      </c>
      <c r="K345">
        <v>30528</v>
      </c>
      <c r="L345">
        <v>3</v>
      </c>
      <c r="M345">
        <v>0</v>
      </c>
      <c r="N345">
        <v>0</v>
      </c>
      <c r="O345">
        <v>2</v>
      </c>
    </row>
    <row r="346" spans="1:15" x14ac:dyDescent="0.3">
      <c r="A346">
        <v>345</v>
      </c>
      <c r="B346" t="s">
        <v>535</v>
      </c>
      <c r="C346" t="s">
        <v>536</v>
      </c>
      <c r="D346" t="s">
        <v>32</v>
      </c>
      <c r="E346" s="1">
        <v>42605</v>
      </c>
      <c r="F346" s="2">
        <f ca="1">DATEDIF(EmpTable[[#This Row],[Start Date]],TODAY(),"Y")</f>
        <v>10</v>
      </c>
      <c r="G346" t="s">
        <v>28</v>
      </c>
      <c r="H346" t="s">
        <v>22</v>
      </c>
      <c r="I346" t="s">
        <v>42</v>
      </c>
      <c r="J346">
        <v>1595</v>
      </c>
      <c r="K346">
        <v>19140</v>
      </c>
      <c r="L346">
        <v>5</v>
      </c>
      <c r="M346">
        <v>0</v>
      </c>
      <c r="N346">
        <v>0</v>
      </c>
      <c r="O346">
        <v>0</v>
      </c>
    </row>
    <row r="347" spans="1:15" x14ac:dyDescent="0.3">
      <c r="A347">
        <v>346</v>
      </c>
      <c r="B347" t="s">
        <v>524</v>
      </c>
      <c r="C347" t="s">
        <v>537</v>
      </c>
      <c r="D347" t="s">
        <v>307</v>
      </c>
      <c r="E347" s="1">
        <v>43439</v>
      </c>
      <c r="F347" s="2">
        <f ca="1">DATEDIF(EmpTable[[#This Row],[Start Date]],TODAY(),"Y")</f>
        <v>7</v>
      </c>
      <c r="G347" t="s">
        <v>41</v>
      </c>
      <c r="H347" t="s">
        <v>48</v>
      </c>
      <c r="I347" t="s">
        <v>19</v>
      </c>
      <c r="J347">
        <v>1326</v>
      </c>
      <c r="K347">
        <v>15912</v>
      </c>
      <c r="L347">
        <v>3</v>
      </c>
      <c r="M347">
        <v>0</v>
      </c>
      <c r="N347">
        <v>3</v>
      </c>
      <c r="O347">
        <v>7</v>
      </c>
    </row>
    <row r="348" spans="1:15" x14ac:dyDescent="0.3">
      <c r="A348">
        <v>347</v>
      </c>
      <c r="B348" t="s">
        <v>20</v>
      </c>
      <c r="C348" t="s">
        <v>538</v>
      </c>
      <c r="D348" t="s">
        <v>32</v>
      </c>
      <c r="E348" s="1">
        <v>43492</v>
      </c>
      <c r="F348" s="2">
        <f ca="1">DATEDIF(EmpTable[[#This Row],[Start Date]],TODAY(),"Y")</f>
        <v>7</v>
      </c>
      <c r="G348" t="s">
        <v>58</v>
      </c>
      <c r="H348" t="s">
        <v>18</v>
      </c>
      <c r="I348" t="s">
        <v>42</v>
      </c>
      <c r="J348">
        <v>3117</v>
      </c>
      <c r="K348">
        <v>37404</v>
      </c>
      <c r="L348">
        <v>3</v>
      </c>
      <c r="M348">
        <v>0</v>
      </c>
      <c r="N348">
        <v>4</v>
      </c>
      <c r="O348">
        <v>0</v>
      </c>
    </row>
    <row r="349" spans="1:15" x14ac:dyDescent="0.3">
      <c r="A349">
        <v>348</v>
      </c>
      <c r="B349" t="s">
        <v>539</v>
      </c>
      <c r="C349" t="s">
        <v>540</v>
      </c>
      <c r="D349" t="s">
        <v>307</v>
      </c>
      <c r="E349" s="1">
        <v>43507</v>
      </c>
      <c r="F349" s="2">
        <f ca="1">DATEDIF(EmpTable[[#This Row],[Start Date]],TODAY(),"Y")</f>
        <v>7</v>
      </c>
      <c r="G349" t="s">
        <v>25</v>
      </c>
      <c r="H349" t="s">
        <v>18</v>
      </c>
      <c r="I349" t="s">
        <v>19</v>
      </c>
      <c r="J349">
        <v>3446</v>
      </c>
      <c r="K349">
        <v>41352</v>
      </c>
      <c r="L349">
        <v>5</v>
      </c>
      <c r="M349">
        <v>0</v>
      </c>
      <c r="N349">
        <v>0</v>
      </c>
      <c r="O349">
        <v>10</v>
      </c>
    </row>
    <row r="350" spans="1:15" x14ac:dyDescent="0.3">
      <c r="A350">
        <v>349</v>
      </c>
      <c r="B350" t="s">
        <v>20</v>
      </c>
      <c r="C350" t="s">
        <v>541</v>
      </c>
      <c r="D350" t="s">
        <v>32</v>
      </c>
      <c r="E350" s="1">
        <v>43476</v>
      </c>
      <c r="F350" s="2">
        <f ca="1">DATEDIF(EmpTable[[#This Row],[Start Date]],TODAY(),"Y")</f>
        <v>7</v>
      </c>
      <c r="G350" t="s">
        <v>28</v>
      </c>
      <c r="H350" t="s">
        <v>29</v>
      </c>
      <c r="I350" t="s">
        <v>19</v>
      </c>
      <c r="J350">
        <v>2023</v>
      </c>
      <c r="K350">
        <v>24276</v>
      </c>
      <c r="L350">
        <v>4.5</v>
      </c>
      <c r="M350">
        <v>6</v>
      </c>
      <c r="N350">
        <v>0</v>
      </c>
      <c r="O350">
        <v>6</v>
      </c>
    </row>
    <row r="351" spans="1:15" x14ac:dyDescent="0.3">
      <c r="A351">
        <v>350</v>
      </c>
      <c r="B351" t="s">
        <v>186</v>
      </c>
      <c r="C351" t="s">
        <v>542</v>
      </c>
      <c r="D351" t="s">
        <v>32</v>
      </c>
      <c r="E351" s="1">
        <v>44044</v>
      </c>
      <c r="F351" s="2">
        <f ca="1">DATEDIF(EmpTable[[#This Row],[Start Date]],TODAY(),"Y")</f>
        <v>6</v>
      </c>
      <c r="G351" t="s">
        <v>77</v>
      </c>
      <c r="H351" t="s">
        <v>18</v>
      </c>
      <c r="I351" t="s">
        <v>36</v>
      </c>
      <c r="J351">
        <v>979</v>
      </c>
      <c r="K351">
        <v>11748</v>
      </c>
      <c r="L351">
        <v>3</v>
      </c>
      <c r="M351">
        <v>6</v>
      </c>
      <c r="N351">
        <v>0</v>
      </c>
      <c r="O351">
        <v>4</v>
      </c>
    </row>
    <row r="352" spans="1:15" x14ac:dyDescent="0.3">
      <c r="A352">
        <v>351</v>
      </c>
      <c r="B352" t="s">
        <v>543</v>
      </c>
      <c r="C352" t="s">
        <v>544</v>
      </c>
      <c r="D352" t="s">
        <v>32</v>
      </c>
      <c r="E352" s="1">
        <v>44064</v>
      </c>
      <c r="F352" s="2">
        <f ca="1">DATEDIF(EmpTable[[#This Row],[Start Date]],TODAY(),"Y")</f>
        <v>6</v>
      </c>
      <c r="G352" t="s">
        <v>163</v>
      </c>
      <c r="H352" t="s">
        <v>18</v>
      </c>
      <c r="I352" t="s">
        <v>42</v>
      </c>
      <c r="J352">
        <v>1676</v>
      </c>
      <c r="K352">
        <v>20112</v>
      </c>
      <c r="L352">
        <v>4.5</v>
      </c>
      <c r="M352">
        <v>0</v>
      </c>
      <c r="N352">
        <v>0</v>
      </c>
      <c r="O352">
        <v>8</v>
      </c>
    </row>
    <row r="353" spans="1:15" x14ac:dyDescent="0.3">
      <c r="A353">
        <v>352</v>
      </c>
      <c r="B353" t="s">
        <v>545</v>
      </c>
      <c r="C353" t="s">
        <v>546</v>
      </c>
      <c r="D353" t="s">
        <v>307</v>
      </c>
      <c r="E353" s="1">
        <v>42747</v>
      </c>
      <c r="F353" s="2">
        <f ca="1">DATEDIF(EmpTable[[#This Row],[Start Date]],TODAY(),"Y")</f>
        <v>9</v>
      </c>
      <c r="G353" t="s">
        <v>39</v>
      </c>
      <c r="H353" t="s">
        <v>18</v>
      </c>
      <c r="I353" t="s">
        <v>36</v>
      </c>
      <c r="J353">
        <v>3079</v>
      </c>
      <c r="K353">
        <v>36948</v>
      </c>
      <c r="L353">
        <v>3</v>
      </c>
      <c r="M353">
        <v>0</v>
      </c>
      <c r="N353">
        <v>0</v>
      </c>
      <c r="O353">
        <v>2</v>
      </c>
    </row>
    <row r="354" spans="1:15" x14ac:dyDescent="0.3">
      <c r="A354">
        <v>353</v>
      </c>
      <c r="B354" t="s">
        <v>122</v>
      </c>
      <c r="C354" t="s">
        <v>165</v>
      </c>
      <c r="D354" t="s">
        <v>307</v>
      </c>
      <c r="E354" s="1">
        <v>43675</v>
      </c>
      <c r="F354" s="2">
        <f ca="1">DATEDIF(EmpTable[[#This Row],[Start Date]],TODAY(),"Y")</f>
        <v>7</v>
      </c>
      <c r="G354" t="s">
        <v>50</v>
      </c>
      <c r="H354" t="s">
        <v>18</v>
      </c>
      <c r="I354" t="s">
        <v>42</v>
      </c>
      <c r="J354">
        <v>2164</v>
      </c>
      <c r="K354">
        <v>25968</v>
      </c>
      <c r="L354">
        <v>3</v>
      </c>
      <c r="M354">
        <v>0</v>
      </c>
      <c r="N354">
        <v>2</v>
      </c>
      <c r="O354">
        <v>0</v>
      </c>
    </row>
    <row r="355" spans="1:15" x14ac:dyDescent="0.3">
      <c r="A355">
        <v>354</v>
      </c>
      <c r="B355" t="s">
        <v>457</v>
      </c>
      <c r="C355" t="s">
        <v>547</v>
      </c>
      <c r="D355" t="s">
        <v>32</v>
      </c>
      <c r="E355" s="1">
        <v>44146</v>
      </c>
      <c r="F355" s="2">
        <f ca="1">DATEDIF(EmpTable[[#This Row],[Start Date]],TODAY(),"Y")</f>
        <v>5</v>
      </c>
      <c r="G355" t="s">
        <v>28</v>
      </c>
      <c r="H355" t="s">
        <v>18</v>
      </c>
      <c r="I355" t="s">
        <v>42</v>
      </c>
      <c r="J355">
        <v>2312</v>
      </c>
      <c r="K355">
        <v>27744</v>
      </c>
      <c r="L355">
        <v>3</v>
      </c>
      <c r="M355">
        <v>0</v>
      </c>
      <c r="N355">
        <v>0</v>
      </c>
      <c r="O355">
        <v>31</v>
      </c>
    </row>
    <row r="356" spans="1:15" x14ac:dyDescent="0.3">
      <c r="A356">
        <v>355</v>
      </c>
      <c r="B356" t="s">
        <v>302</v>
      </c>
      <c r="C356" t="s">
        <v>167</v>
      </c>
      <c r="D356" t="s">
        <v>32</v>
      </c>
      <c r="E356" s="1">
        <v>42974</v>
      </c>
      <c r="F356" s="2">
        <f ca="1">DATEDIF(EmpTable[[#This Row],[Start Date]],TODAY(),"Y")</f>
        <v>9</v>
      </c>
      <c r="G356" t="s">
        <v>41</v>
      </c>
      <c r="H356" t="s">
        <v>18</v>
      </c>
      <c r="I356" t="s">
        <v>19</v>
      </c>
      <c r="J356">
        <v>834</v>
      </c>
      <c r="K356">
        <v>10008</v>
      </c>
      <c r="L356">
        <v>2</v>
      </c>
      <c r="M356">
        <v>6</v>
      </c>
      <c r="N356">
        <v>0</v>
      </c>
      <c r="O356">
        <v>13</v>
      </c>
    </row>
    <row r="357" spans="1:15" x14ac:dyDescent="0.3">
      <c r="A357">
        <v>356</v>
      </c>
      <c r="B357" t="s">
        <v>548</v>
      </c>
      <c r="C357" t="s">
        <v>549</v>
      </c>
      <c r="D357" t="s">
        <v>307</v>
      </c>
      <c r="E357" s="1">
        <v>43480</v>
      </c>
      <c r="F357" s="2">
        <f ca="1">DATEDIF(EmpTable[[#This Row],[Start Date]],TODAY(),"Y")</f>
        <v>7</v>
      </c>
      <c r="G357" t="s">
        <v>17</v>
      </c>
      <c r="H357" t="s">
        <v>18</v>
      </c>
      <c r="I357" t="s">
        <v>42</v>
      </c>
      <c r="J357">
        <v>723</v>
      </c>
      <c r="K357">
        <v>8676</v>
      </c>
      <c r="L357">
        <v>3</v>
      </c>
      <c r="M357">
        <v>0</v>
      </c>
      <c r="N357">
        <v>0</v>
      </c>
      <c r="O357">
        <v>10</v>
      </c>
    </row>
    <row r="358" spans="1:15" x14ac:dyDescent="0.3">
      <c r="A358">
        <v>357</v>
      </c>
      <c r="B358" t="s">
        <v>69</v>
      </c>
      <c r="C358" t="s">
        <v>550</v>
      </c>
      <c r="D358" t="s">
        <v>32</v>
      </c>
      <c r="E358" s="1">
        <v>42504</v>
      </c>
      <c r="F358" s="2">
        <f ca="1">DATEDIF(EmpTable[[#This Row],[Start Date]],TODAY(),"Y")</f>
        <v>10</v>
      </c>
      <c r="G358" t="s">
        <v>77</v>
      </c>
      <c r="H358" t="s">
        <v>18</v>
      </c>
      <c r="I358" t="s">
        <v>19</v>
      </c>
      <c r="J358">
        <v>2807</v>
      </c>
      <c r="K358">
        <v>33684</v>
      </c>
      <c r="L358">
        <v>3</v>
      </c>
      <c r="M358">
        <v>5</v>
      </c>
      <c r="N358">
        <v>1</v>
      </c>
      <c r="O358">
        <v>2</v>
      </c>
    </row>
    <row r="359" spans="1:15" x14ac:dyDescent="0.3">
      <c r="A359">
        <v>358</v>
      </c>
      <c r="B359" t="s">
        <v>551</v>
      </c>
      <c r="C359" t="s">
        <v>552</v>
      </c>
      <c r="D359" t="s">
        <v>307</v>
      </c>
      <c r="E359" s="1">
        <v>42904</v>
      </c>
      <c r="F359" s="2">
        <f ca="1">DATEDIF(EmpTable[[#This Row],[Start Date]],TODAY(),"Y")</f>
        <v>9</v>
      </c>
      <c r="G359" t="s">
        <v>58</v>
      </c>
      <c r="H359" t="s">
        <v>22</v>
      </c>
      <c r="I359" t="s">
        <v>36</v>
      </c>
      <c r="J359">
        <v>1002</v>
      </c>
      <c r="K359">
        <v>12024</v>
      </c>
      <c r="L359">
        <v>5</v>
      </c>
      <c r="M359">
        <v>1</v>
      </c>
      <c r="N359">
        <v>0</v>
      </c>
      <c r="O359">
        <v>3</v>
      </c>
    </row>
    <row r="360" spans="1:15" x14ac:dyDescent="0.3">
      <c r="A360">
        <v>359</v>
      </c>
      <c r="B360" t="s">
        <v>341</v>
      </c>
      <c r="C360" t="s">
        <v>553</v>
      </c>
      <c r="D360" t="s">
        <v>32</v>
      </c>
      <c r="E360" s="1">
        <v>44023</v>
      </c>
      <c r="F360" s="2">
        <f ca="1">DATEDIF(EmpTable[[#This Row],[Start Date]],TODAY(),"Y")</f>
        <v>6</v>
      </c>
      <c r="G360" t="s">
        <v>118</v>
      </c>
      <c r="H360" t="s">
        <v>18</v>
      </c>
      <c r="I360" t="s">
        <v>19</v>
      </c>
      <c r="J360">
        <v>2265</v>
      </c>
      <c r="K360">
        <v>27180</v>
      </c>
      <c r="L360">
        <v>5</v>
      </c>
      <c r="M360">
        <v>1</v>
      </c>
      <c r="N360">
        <v>0</v>
      </c>
      <c r="O360">
        <v>9</v>
      </c>
    </row>
    <row r="361" spans="1:15" x14ac:dyDescent="0.3">
      <c r="A361">
        <v>360</v>
      </c>
      <c r="B361" t="s">
        <v>554</v>
      </c>
      <c r="C361" t="s">
        <v>66</v>
      </c>
      <c r="D361" t="s">
        <v>32</v>
      </c>
      <c r="E361" s="1">
        <v>43753</v>
      </c>
      <c r="F361" s="2">
        <f ca="1">DATEDIF(EmpTable[[#This Row],[Start Date]],TODAY(),"Y")</f>
        <v>6</v>
      </c>
      <c r="G361" t="s">
        <v>17</v>
      </c>
      <c r="H361" t="s">
        <v>18</v>
      </c>
      <c r="I361" t="s">
        <v>36</v>
      </c>
      <c r="J361">
        <v>3283</v>
      </c>
      <c r="K361">
        <v>39396</v>
      </c>
      <c r="L361">
        <v>5</v>
      </c>
      <c r="M361">
        <v>0</v>
      </c>
      <c r="N361">
        <v>0</v>
      </c>
      <c r="O361">
        <v>3</v>
      </c>
    </row>
    <row r="362" spans="1:15" x14ac:dyDescent="0.3">
      <c r="A362">
        <v>361</v>
      </c>
      <c r="B362" t="s">
        <v>305</v>
      </c>
      <c r="C362" t="s">
        <v>555</v>
      </c>
      <c r="D362" t="s">
        <v>307</v>
      </c>
      <c r="E362" s="1">
        <v>43204</v>
      </c>
      <c r="F362" s="2">
        <f ca="1">DATEDIF(EmpTable[[#This Row],[Start Date]],TODAY(),"Y")</f>
        <v>8</v>
      </c>
      <c r="G362" t="s">
        <v>77</v>
      </c>
      <c r="H362" t="s">
        <v>18</v>
      </c>
      <c r="I362" t="s">
        <v>36</v>
      </c>
      <c r="J362">
        <v>2675</v>
      </c>
      <c r="K362">
        <v>32100</v>
      </c>
      <c r="L362">
        <v>3</v>
      </c>
      <c r="M362">
        <v>1</v>
      </c>
      <c r="N362">
        <v>6</v>
      </c>
      <c r="O362">
        <v>4</v>
      </c>
    </row>
    <row r="363" spans="1:15" x14ac:dyDescent="0.3">
      <c r="A363">
        <v>362</v>
      </c>
      <c r="B363" t="s">
        <v>33</v>
      </c>
      <c r="C363" t="s">
        <v>556</v>
      </c>
      <c r="D363" t="s">
        <v>32</v>
      </c>
      <c r="E363" s="1">
        <v>43481</v>
      </c>
      <c r="F363" s="2">
        <f ca="1">DATEDIF(EmpTable[[#This Row],[Start Date]],TODAY(),"Y")</f>
        <v>7</v>
      </c>
      <c r="G363" t="s">
        <v>58</v>
      </c>
      <c r="H363" t="s">
        <v>29</v>
      </c>
      <c r="I363" t="s">
        <v>42</v>
      </c>
      <c r="J363">
        <v>3056</v>
      </c>
      <c r="K363">
        <v>36672</v>
      </c>
      <c r="L363">
        <v>4.5</v>
      </c>
      <c r="M363">
        <v>0</v>
      </c>
      <c r="N363">
        <v>0</v>
      </c>
      <c r="O363">
        <v>9</v>
      </c>
    </row>
    <row r="364" spans="1:15" x14ac:dyDescent="0.3">
      <c r="A364">
        <v>363</v>
      </c>
      <c r="B364" t="s">
        <v>129</v>
      </c>
      <c r="C364" t="s">
        <v>557</v>
      </c>
      <c r="D364" t="s">
        <v>32</v>
      </c>
      <c r="E364" s="1">
        <v>43752</v>
      </c>
      <c r="F364" s="2">
        <f ca="1">DATEDIF(EmpTable[[#This Row],[Start Date]],TODAY(),"Y")</f>
        <v>6</v>
      </c>
      <c r="G364" t="s">
        <v>28</v>
      </c>
      <c r="H364" t="s">
        <v>18</v>
      </c>
      <c r="I364" t="s">
        <v>19</v>
      </c>
      <c r="J364">
        <v>1579</v>
      </c>
      <c r="K364">
        <v>18948</v>
      </c>
      <c r="L364">
        <v>3</v>
      </c>
      <c r="M364">
        <v>0</v>
      </c>
      <c r="N364">
        <v>0</v>
      </c>
      <c r="O364">
        <v>14</v>
      </c>
    </row>
    <row r="365" spans="1:15" x14ac:dyDescent="0.3">
      <c r="A365">
        <v>364</v>
      </c>
      <c r="B365" t="s">
        <v>30</v>
      </c>
      <c r="C365" t="s">
        <v>558</v>
      </c>
      <c r="D365" t="s">
        <v>32</v>
      </c>
      <c r="E365" s="1">
        <v>43622</v>
      </c>
      <c r="F365" s="2">
        <f ca="1">DATEDIF(EmpTable[[#This Row],[Start Date]],TODAY(),"Y")</f>
        <v>7</v>
      </c>
      <c r="G365" t="s">
        <v>58</v>
      </c>
      <c r="H365" t="s">
        <v>22</v>
      </c>
      <c r="I365" t="s">
        <v>898</v>
      </c>
      <c r="J365">
        <v>1255</v>
      </c>
      <c r="K365">
        <v>15060</v>
      </c>
      <c r="L365">
        <v>3</v>
      </c>
      <c r="M365">
        <v>6</v>
      </c>
      <c r="N365">
        <v>0</v>
      </c>
      <c r="O365">
        <v>0</v>
      </c>
    </row>
    <row r="366" spans="1:15" x14ac:dyDescent="0.3">
      <c r="A366">
        <v>365</v>
      </c>
      <c r="B366" t="s">
        <v>197</v>
      </c>
      <c r="C366" t="s">
        <v>559</v>
      </c>
      <c r="D366" t="s">
        <v>32</v>
      </c>
      <c r="E366" s="1">
        <v>43496</v>
      </c>
      <c r="F366" s="2">
        <f ca="1">DATEDIF(EmpTable[[#This Row],[Start Date]],TODAY(),"Y")</f>
        <v>7</v>
      </c>
      <c r="G366" t="s">
        <v>17</v>
      </c>
      <c r="H366" t="s">
        <v>18</v>
      </c>
      <c r="I366" t="s">
        <v>898</v>
      </c>
      <c r="J366">
        <v>3418</v>
      </c>
      <c r="K366">
        <v>41016</v>
      </c>
      <c r="L366">
        <v>3</v>
      </c>
      <c r="M366">
        <v>4</v>
      </c>
      <c r="N366">
        <v>0</v>
      </c>
      <c r="O366">
        <v>1</v>
      </c>
    </row>
    <row r="367" spans="1:15" x14ac:dyDescent="0.3">
      <c r="A367">
        <v>366</v>
      </c>
      <c r="B367" t="s">
        <v>388</v>
      </c>
      <c r="C367" t="s">
        <v>560</v>
      </c>
      <c r="D367" t="s">
        <v>32</v>
      </c>
      <c r="E367" s="1">
        <v>44165</v>
      </c>
      <c r="F367" s="2">
        <f ca="1">DATEDIF(EmpTable[[#This Row],[Start Date]],TODAY(),"Y")</f>
        <v>5</v>
      </c>
      <c r="G367" t="s">
        <v>58</v>
      </c>
      <c r="H367" t="s">
        <v>18</v>
      </c>
      <c r="I367" t="s">
        <v>898</v>
      </c>
      <c r="J367">
        <v>3368</v>
      </c>
      <c r="K367">
        <v>40416</v>
      </c>
      <c r="L367">
        <v>3</v>
      </c>
      <c r="M367">
        <v>0</v>
      </c>
      <c r="N367">
        <v>0</v>
      </c>
      <c r="O367">
        <v>8</v>
      </c>
    </row>
    <row r="368" spans="1:15" x14ac:dyDescent="0.3">
      <c r="A368">
        <v>367</v>
      </c>
      <c r="B368" t="s">
        <v>561</v>
      </c>
      <c r="C368" t="s">
        <v>562</v>
      </c>
      <c r="D368" t="s">
        <v>307</v>
      </c>
      <c r="E368" s="1">
        <v>43784</v>
      </c>
      <c r="F368" s="2">
        <f ca="1">DATEDIF(EmpTable[[#This Row],[Start Date]],TODAY(),"Y")</f>
        <v>6</v>
      </c>
      <c r="G368" t="s">
        <v>45</v>
      </c>
      <c r="H368" t="s">
        <v>29</v>
      </c>
      <c r="I368" t="s">
        <v>36</v>
      </c>
      <c r="J368">
        <v>3275</v>
      </c>
      <c r="K368">
        <v>39300</v>
      </c>
      <c r="L368">
        <v>3</v>
      </c>
      <c r="M368">
        <v>1</v>
      </c>
      <c r="N368">
        <v>2</v>
      </c>
      <c r="O368">
        <v>12</v>
      </c>
    </row>
    <row r="369" spans="1:15" x14ac:dyDescent="0.3">
      <c r="A369">
        <v>368</v>
      </c>
      <c r="B369" t="s">
        <v>59</v>
      </c>
      <c r="C369" t="s">
        <v>370</v>
      </c>
      <c r="D369" t="s">
        <v>307</v>
      </c>
      <c r="E369" s="1">
        <v>44192</v>
      </c>
      <c r="F369" s="2">
        <f ca="1">DATEDIF(EmpTable[[#This Row],[Start Date]],TODAY(),"Y")</f>
        <v>5</v>
      </c>
      <c r="G369" t="s">
        <v>50</v>
      </c>
      <c r="H369" t="s">
        <v>29</v>
      </c>
      <c r="I369" t="s">
        <v>19</v>
      </c>
      <c r="J369">
        <v>3043</v>
      </c>
      <c r="K369">
        <v>36516</v>
      </c>
      <c r="L369">
        <v>2</v>
      </c>
      <c r="M369">
        <v>0</v>
      </c>
      <c r="N369">
        <v>0</v>
      </c>
      <c r="O369">
        <v>8</v>
      </c>
    </row>
    <row r="370" spans="1:15" x14ac:dyDescent="0.3">
      <c r="A370">
        <v>369</v>
      </c>
      <c r="B370" t="s">
        <v>563</v>
      </c>
      <c r="C370" t="s">
        <v>564</v>
      </c>
      <c r="D370" t="s">
        <v>307</v>
      </c>
      <c r="E370" s="1">
        <v>43803</v>
      </c>
      <c r="F370" s="2">
        <f ca="1">DATEDIF(EmpTable[[#This Row],[Start Date]],TODAY(),"Y")</f>
        <v>6</v>
      </c>
      <c r="G370" t="s">
        <v>118</v>
      </c>
      <c r="H370" t="s">
        <v>294</v>
      </c>
      <c r="I370" t="s">
        <v>36</v>
      </c>
      <c r="J370">
        <v>1122</v>
      </c>
      <c r="K370">
        <v>13464</v>
      </c>
      <c r="L370">
        <v>4.5</v>
      </c>
      <c r="M370">
        <v>2</v>
      </c>
      <c r="N370">
        <v>4</v>
      </c>
      <c r="O370">
        <v>7</v>
      </c>
    </row>
    <row r="371" spans="1:15" x14ac:dyDescent="0.3">
      <c r="A371">
        <v>370</v>
      </c>
      <c r="B371" t="s">
        <v>288</v>
      </c>
      <c r="C371" t="s">
        <v>565</v>
      </c>
      <c r="D371" t="s">
        <v>307</v>
      </c>
      <c r="E371" s="1">
        <v>43183</v>
      </c>
      <c r="F371" s="2">
        <f ca="1">DATEDIF(EmpTable[[#This Row],[Start Date]],TODAY(),"Y")</f>
        <v>8</v>
      </c>
      <c r="G371" t="s">
        <v>28</v>
      </c>
      <c r="H371" t="s">
        <v>18</v>
      </c>
      <c r="I371" t="s">
        <v>42</v>
      </c>
      <c r="J371">
        <v>764</v>
      </c>
      <c r="K371">
        <v>9168</v>
      </c>
      <c r="L371">
        <v>5</v>
      </c>
      <c r="M371">
        <v>4</v>
      </c>
      <c r="N371">
        <v>1</v>
      </c>
      <c r="O371">
        <v>13</v>
      </c>
    </row>
    <row r="372" spans="1:15" x14ac:dyDescent="0.3">
      <c r="A372">
        <v>371</v>
      </c>
      <c r="B372" t="s">
        <v>89</v>
      </c>
      <c r="C372" t="s">
        <v>566</v>
      </c>
      <c r="D372" t="s">
        <v>307</v>
      </c>
      <c r="E372" s="1">
        <v>43498</v>
      </c>
      <c r="F372" s="2">
        <f ca="1">DATEDIF(EmpTable[[#This Row],[Start Date]],TODAY(),"Y")</f>
        <v>7</v>
      </c>
      <c r="G372" t="s">
        <v>41</v>
      </c>
      <c r="H372" t="s">
        <v>22</v>
      </c>
      <c r="I372" t="s">
        <v>36</v>
      </c>
      <c r="J372">
        <v>2879</v>
      </c>
      <c r="K372">
        <v>34548</v>
      </c>
      <c r="L372">
        <v>2</v>
      </c>
      <c r="M372">
        <v>0</v>
      </c>
      <c r="N372">
        <v>0</v>
      </c>
      <c r="O372">
        <v>8</v>
      </c>
    </row>
    <row r="373" spans="1:15" x14ac:dyDescent="0.3">
      <c r="A373">
        <v>372</v>
      </c>
      <c r="B373" t="s">
        <v>33</v>
      </c>
      <c r="C373" t="s">
        <v>567</v>
      </c>
      <c r="D373" t="s">
        <v>32</v>
      </c>
      <c r="E373" s="1">
        <v>43886</v>
      </c>
      <c r="F373" s="2">
        <f ca="1">DATEDIF(EmpTable[[#This Row],[Start Date]],TODAY(),"Y")</f>
        <v>6</v>
      </c>
      <c r="G373" t="s">
        <v>28</v>
      </c>
      <c r="H373" t="s">
        <v>29</v>
      </c>
      <c r="I373" t="s">
        <v>19</v>
      </c>
      <c r="J373">
        <v>2252</v>
      </c>
      <c r="K373">
        <v>27024</v>
      </c>
      <c r="L373">
        <v>3</v>
      </c>
      <c r="M373">
        <v>1</v>
      </c>
      <c r="N373">
        <v>0</v>
      </c>
      <c r="O373">
        <v>50</v>
      </c>
    </row>
    <row r="374" spans="1:15" x14ac:dyDescent="0.3">
      <c r="A374">
        <v>373</v>
      </c>
      <c r="B374" t="s">
        <v>30</v>
      </c>
      <c r="C374" t="s">
        <v>142</v>
      </c>
      <c r="D374" t="s">
        <v>32</v>
      </c>
      <c r="E374" s="1">
        <v>43413</v>
      </c>
      <c r="F374" s="2">
        <f ca="1">DATEDIF(EmpTable[[#This Row],[Start Date]],TODAY(),"Y")</f>
        <v>7</v>
      </c>
      <c r="G374" t="s">
        <v>35</v>
      </c>
      <c r="H374" t="s">
        <v>29</v>
      </c>
      <c r="I374" t="s">
        <v>60</v>
      </c>
      <c r="J374">
        <v>2149</v>
      </c>
      <c r="K374">
        <v>25788</v>
      </c>
      <c r="L374">
        <v>3</v>
      </c>
      <c r="M374">
        <v>0</v>
      </c>
      <c r="N374">
        <v>0</v>
      </c>
      <c r="O374">
        <v>1</v>
      </c>
    </row>
    <row r="375" spans="1:15" x14ac:dyDescent="0.3">
      <c r="A375">
        <v>374</v>
      </c>
      <c r="B375" t="s">
        <v>30</v>
      </c>
      <c r="C375" t="s">
        <v>568</v>
      </c>
      <c r="D375" t="s">
        <v>32</v>
      </c>
      <c r="E375" s="1">
        <v>43777</v>
      </c>
      <c r="F375" s="2">
        <f ca="1">DATEDIF(EmpTable[[#This Row],[Start Date]],TODAY(),"Y")</f>
        <v>6</v>
      </c>
      <c r="G375" t="s">
        <v>200</v>
      </c>
      <c r="H375" t="s">
        <v>29</v>
      </c>
      <c r="I375" t="s">
        <v>42</v>
      </c>
      <c r="J375">
        <v>2428</v>
      </c>
      <c r="K375">
        <v>29136</v>
      </c>
      <c r="L375">
        <v>5</v>
      </c>
      <c r="M375">
        <v>0</v>
      </c>
      <c r="N375">
        <v>0</v>
      </c>
      <c r="O375">
        <v>35</v>
      </c>
    </row>
    <row r="376" spans="1:15" x14ac:dyDescent="0.3">
      <c r="A376">
        <v>375</v>
      </c>
      <c r="B376" t="s">
        <v>33</v>
      </c>
      <c r="C376" t="s">
        <v>569</v>
      </c>
      <c r="D376" t="s">
        <v>32</v>
      </c>
      <c r="E376" s="1">
        <v>43750</v>
      </c>
      <c r="F376" s="2">
        <f ca="1">DATEDIF(EmpTable[[#This Row],[Start Date]],TODAY(),"Y")</f>
        <v>6</v>
      </c>
      <c r="G376" t="s">
        <v>28</v>
      </c>
      <c r="H376" t="s">
        <v>18</v>
      </c>
      <c r="I376" t="s">
        <v>42</v>
      </c>
      <c r="J376">
        <v>3240</v>
      </c>
      <c r="K376">
        <v>38880</v>
      </c>
      <c r="L376">
        <v>5</v>
      </c>
      <c r="M376">
        <v>0</v>
      </c>
      <c r="N376">
        <v>0</v>
      </c>
      <c r="O376">
        <v>6</v>
      </c>
    </row>
    <row r="377" spans="1:15" x14ac:dyDescent="0.3">
      <c r="A377">
        <v>376</v>
      </c>
      <c r="B377" t="s">
        <v>59</v>
      </c>
      <c r="C377" t="s">
        <v>570</v>
      </c>
      <c r="D377" t="s">
        <v>307</v>
      </c>
      <c r="E377" s="1">
        <v>43170</v>
      </c>
      <c r="F377" s="2">
        <f ca="1">DATEDIF(EmpTable[[#This Row],[Start Date]],TODAY(),"Y")</f>
        <v>8</v>
      </c>
      <c r="G377" t="s">
        <v>41</v>
      </c>
      <c r="H377" t="s">
        <v>18</v>
      </c>
      <c r="I377" t="s">
        <v>898</v>
      </c>
      <c r="J377">
        <v>1448</v>
      </c>
      <c r="K377">
        <v>17376</v>
      </c>
      <c r="L377">
        <v>3</v>
      </c>
      <c r="M377">
        <v>4</v>
      </c>
      <c r="N377">
        <v>0</v>
      </c>
      <c r="O377">
        <v>10</v>
      </c>
    </row>
    <row r="378" spans="1:15" x14ac:dyDescent="0.3">
      <c r="A378">
        <v>377</v>
      </c>
      <c r="B378" t="s">
        <v>64</v>
      </c>
      <c r="C378" t="s">
        <v>571</v>
      </c>
      <c r="D378" t="s">
        <v>32</v>
      </c>
      <c r="E378" s="1">
        <v>44044</v>
      </c>
      <c r="F378" s="2">
        <f ca="1">DATEDIF(EmpTable[[#This Row],[Start Date]],TODAY(),"Y")</f>
        <v>6</v>
      </c>
      <c r="G378" t="s">
        <v>28</v>
      </c>
      <c r="H378" t="s">
        <v>18</v>
      </c>
      <c r="I378" t="s">
        <v>898</v>
      </c>
      <c r="J378">
        <v>2409</v>
      </c>
      <c r="K378">
        <v>28908</v>
      </c>
      <c r="L378">
        <v>3</v>
      </c>
      <c r="M378">
        <v>3</v>
      </c>
      <c r="N378">
        <v>3</v>
      </c>
      <c r="O378">
        <v>3</v>
      </c>
    </row>
    <row r="379" spans="1:15" x14ac:dyDescent="0.3">
      <c r="A379">
        <v>378</v>
      </c>
      <c r="B379" t="s">
        <v>335</v>
      </c>
      <c r="C379" t="s">
        <v>572</v>
      </c>
      <c r="D379" t="s">
        <v>32</v>
      </c>
      <c r="E379" s="1">
        <v>43741</v>
      </c>
      <c r="F379" s="2">
        <f ca="1">DATEDIF(EmpTable[[#This Row],[Start Date]],TODAY(),"Y")</f>
        <v>6</v>
      </c>
      <c r="G379" t="s">
        <v>88</v>
      </c>
      <c r="H379" t="s">
        <v>29</v>
      </c>
      <c r="I379" t="s">
        <v>60</v>
      </c>
      <c r="J379">
        <v>3030</v>
      </c>
      <c r="K379">
        <v>36360</v>
      </c>
      <c r="L379">
        <v>2</v>
      </c>
      <c r="M379">
        <v>6</v>
      </c>
      <c r="N379">
        <v>0</v>
      </c>
      <c r="O379">
        <v>5</v>
      </c>
    </row>
    <row r="380" spans="1:15" x14ac:dyDescent="0.3">
      <c r="A380">
        <v>379</v>
      </c>
      <c r="B380" t="s">
        <v>30</v>
      </c>
      <c r="C380" t="s">
        <v>573</v>
      </c>
      <c r="D380" t="s">
        <v>32</v>
      </c>
      <c r="E380" s="1">
        <v>44092</v>
      </c>
      <c r="F380" s="2">
        <f ca="1">DATEDIF(EmpTable[[#This Row],[Start Date]],TODAY(),"Y")</f>
        <v>5</v>
      </c>
      <c r="G380" t="s">
        <v>28</v>
      </c>
      <c r="H380" t="s">
        <v>29</v>
      </c>
      <c r="I380" t="s">
        <v>36</v>
      </c>
      <c r="J380">
        <v>2544</v>
      </c>
      <c r="K380">
        <v>30528</v>
      </c>
      <c r="L380">
        <v>5</v>
      </c>
      <c r="M380">
        <v>0</v>
      </c>
      <c r="N380">
        <v>0</v>
      </c>
      <c r="O380">
        <v>11</v>
      </c>
    </row>
    <row r="381" spans="1:15" x14ac:dyDescent="0.3">
      <c r="A381">
        <v>380</v>
      </c>
      <c r="B381" t="s">
        <v>574</v>
      </c>
      <c r="C381" t="s">
        <v>30</v>
      </c>
      <c r="D381" t="s">
        <v>32</v>
      </c>
      <c r="E381" s="1">
        <v>42778</v>
      </c>
      <c r="F381" s="2">
        <f ca="1">DATEDIF(EmpTable[[#This Row],[Start Date]],TODAY(),"Y")</f>
        <v>9</v>
      </c>
      <c r="G381" t="s">
        <v>53</v>
      </c>
      <c r="H381" t="s">
        <v>18</v>
      </c>
      <c r="I381" t="s">
        <v>19</v>
      </c>
      <c r="J381">
        <v>2872</v>
      </c>
      <c r="K381">
        <v>34464</v>
      </c>
      <c r="L381">
        <v>4.5</v>
      </c>
      <c r="M381">
        <v>5</v>
      </c>
      <c r="N381">
        <v>0</v>
      </c>
      <c r="O381">
        <v>7</v>
      </c>
    </row>
    <row r="382" spans="1:15" x14ac:dyDescent="0.3">
      <c r="A382">
        <v>381</v>
      </c>
      <c r="B382" t="s">
        <v>302</v>
      </c>
      <c r="C382" t="s">
        <v>575</v>
      </c>
      <c r="D382" t="s">
        <v>32</v>
      </c>
      <c r="E382" s="1">
        <v>43468</v>
      </c>
      <c r="F382" s="2">
        <f ca="1">DATEDIF(EmpTable[[#This Row],[Start Date]],TODAY(),"Y")</f>
        <v>7</v>
      </c>
      <c r="G382" t="s">
        <v>35</v>
      </c>
      <c r="H382" t="s">
        <v>18</v>
      </c>
      <c r="I382" t="s">
        <v>60</v>
      </c>
      <c r="J382">
        <v>2263</v>
      </c>
      <c r="K382">
        <v>27156</v>
      </c>
      <c r="L382">
        <v>4.5</v>
      </c>
      <c r="M382">
        <v>0</v>
      </c>
      <c r="N382">
        <v>0</v>
      </c>
      <c r="O382">
        <v>8</v>
      </c>
    </row>
    <row r="383" spans="1:15" x14ac:dyDescent="0.3">
      <c r="A383">
        <v>382</v>
      </c>
      <c r="B383" t="s">
        <v>59</v>
      </c>
      <c r="C383" t="s">
        <v>576</v>
      </c>
      <c r="D383" t="s">
        <v>307</v>
      </c>
      <c r="E383" s="1">
        <v>43704</v>
      </c>
      <c r="F383" s="2">
        <f ca="1">DATEDIF(EmpTable[[#This Row],[Start Date]],TODAY(),"Y")</f>
        <v>7</v>
      </c>
      <c r="G383" t="s">
        <v>17</v>
      </c>
      <c r="H383" t="s">
        <v>29</v>
      </c>
      <c r="I383" t="s">
        <v>898</v>
      </c>
      <c r="J383">
        <v>2136</v>
      </c>
      <c r="K383">
        <v>25632</v>
      </c>
      <c r="L383">
        <v>5</v>
      </c>
      <c r="M383">
        <v>4</v>
      </c>
      <c r="N383">
        <v>0</v>
      </c>
      <c r="O383">
        <v>12</v>
      </c>
    </row>
    <row r="384" spans="1:15" x14ac:dyDescent="0.3">
      <c r="A384">
        <v>383</v>
      </c>
      <c r="B384" t="s">
        <v>49</v>
      </c>
      <c r="C384" t="s">
        <v>577</v>
      </c>
      <c r="D384" t="s">
        <v>32</v>
      </c>
      <c r="E384" s="1">
        <v>42940</v>
      </c>
      <c r="F384" s="2">
        <f ca="1">DATEDIF(EmpTable[[#This Row],[Start Date]],TODAY(),"Y")</f>
        <v>9</v>
      </c>
      <c r="G384" t="s">
        <v>28</v>
      </c>
      <c r="H384" t="s">
        <v>18</v>
      </c>
      <c r="I384" t="s">
        <v>42</v>
      </c>
      <c r="J384">
        <v>2379</v>
      </c>
      <c r="K384">
        <v>28548</v>
      </c>
      <c r="L384">
        <v>4.5</v>
      </c>
      <c r="M384">
        <v>1</v>
      </c>
      <c r="N384">
        <v>0</v>
      </c>
      <c r="O384">
        <v>10</v>
      </c>
    </row>
    <row r="385" spans="1:15" x14ac:dyDescent="0.3">
      <c r="A385">
        <v>384</v>
      </c>
      <c r="B385" t="s">
        <v>578</v>
      </c>
      <c r="C385" t="s">
        <v>579</v>
      </c>
      <c r="D385" t="s">
        <v>307</v>
      </c>
      <c r="E385" s="1">
        <v>44036</v>
      </c>
      <c r="F385" s="2">
        <f ca="1">DATEDIF(EmpTable[[#This Row],[Start Date]],TODAY(),"Y")</f>
        <v>6</v>
      </c>
      <c r="G385" t="s">
        <v>41</v>
      </c>
      <c r="H385" t="s">
        <v>18</v>
      </c>
      <c r="I385" t="s">
        <v>36</v>
      </c>
      <c r="J385">
        <v>1940</v>
      </c>
      <c r="K385">
        <v>23280</v>
      </c>
      <c r="L385">
        <v>3</v>
      </c>
      <c r="M385">
        <v>4</v>
      </c>
      <c r="N385">
        <v>6</v>
      </c>
      <c r="O385">
        <v>5</v>
      </c>
    </row>
    <row r="386" spans="1:15" x14ac:dyDescent="0.3">
      <c r="A386">
        <v>385</v>
      </c>
      <c r="B386" t="s">
        <v>357</v>
      </c>
      <c r="C386" t="s">
        <v>580</v>
      </c>
      <c r="D386" t="s">
        <v>32</v>
      </c>
      <c r="E386" s="1">
        <v>43603</v>
      </c>
      <c r="F386" s="2">
        <f ca="1">DATEDIF(EmpTable[[#This Row],[Start Date]],TODAY(),"Y")</f>
        <v>7</v>
      </c>
      <c r="G386" t="s">
        <v>53</v>
      </c>
      <c r="H386" t="s">
        <v>18</v>
      </c>
      <c r="I386" t="s">
        <v>42</v>
      </c>
      <c r="J386">
        <v>1558</v>
      </c>
      <c r="K386">
        <v>18696</v>
      </c>
      <c r="L386">
        <v>2</v>
      </c>
      <c r="M386">
        <v>0</v>
      </c>
      <c r="N386">
        <v>6</v>
      </c>
      <c r="O386">
        <v>9</v>
      </c>
    </row>
    <row r="387" spans="1:15" x14ac:dyDescent="0.3">
      <c r="A387">
        <v>386</v>
      </c>
      <c r="B387" t="s">
        <v>30</v>
      </c>
      <c r="C387" t="s">
        <v>581</v>
      </c>
      <c r="D387" t="s">
        <v>32</v>
      </c>
      <c r="E387" s="1">
        <v>43563</v>
      </c>
      <c r="F387" s="2">
        <f ca="1">DATEDIF(EmpTable[[#This Row],[Start Date]],TODAY(),"Y")</f>
        <v>7</v>
      </c>
      <c r="G387" t="s">
        <v>50</v>
      </c>
      <c r="H387" t="s">
        <v>18</v>
      </c>
      <c r="I387" t="s">
        <v>36</v>
      </c>
      <c r="J387">
        <v>1341</v>
      </c>
      <c r="K387">
        <v>16092</v>
      </c>
      <c r="L387">
        <v>5</v>
      </c>
      <c r="M387">
        <v>3</v>
      </c>
      <c r="N387">
        <v>0</v>
      </c>
      <c r="O387">
        <v>8</v>
      </c>
    </row>
    <row r="388" spans="1:15" x14ac:dyDescent="0.3">
      <c r="A388">
        <v>387</v>
      </c>
      <c r="B388" t="s">
        <v>582</v>
      </c>
      <c r="C388" t="s">
        <v>80</v>
      </c>
      <c r="D388" t="s">
        <v>32</v>
      </c>
      <c r="E388" s="1">
        <v>43566</v>
      </c>
      <c r="F388" s="2">
        <f ca="1">DATEDIF(EmpTable[[#This Row],[Start Date]],TODAY(),"Y")</f>
        <v>7</v>
      </c>
      <c r="G388" t="s">
        <v>28</v>
      </c>
      <c r="H388" t="s">
        <v>18</v>
      </c>
      <c r="I388" t="s">
        <v>42</v>
      </c>
      <c r="J388">
        <v>1703</v>
      </c>
      <c r="K388">
        <v>20436</v>
      </c>
      <c r="L388">
        <v>5</v>
      </c>
      <c r="M388">
        <v>2</v>
      </c>
      <c r="N388">
        <v>0</v>
      </c>
      <c r="O388">
        <v>10</v>
      </c>
    </row>
    <row r="389" spans="1:15" x14ac:dyDescent="0.3">
      <c r="A389">
        <v>388</v>
      </c>
      <c r="B389" t="s">
        <v>195</v>
      </c>
      <c r="C389" t="s">
        <v>583</v>
      </c>
      <c r="D389" t="s">
        <v>32</v>
      </c>
      <c r="E389" s="1">
        <v>44032</v>
      </c>
      <c r="F389" s="2">
        <f ca="1">DATEDIF(EmpTable[[#This Row],[Start Date]],TODAY(),"Y")</f>
        <v>6</v>
      </c>
      <c r="G389" t="s">
        <v>88</v>
      </c>
      <c r="H389" t="s">
        <v>18</v>
      </c>
      <c r="I389" t="s">
        <v>36</v>
      </c>
      <c r="J389">
        <v>3282</v>
      </c>
      <c r="K389">
        <v>39384</v>
      </c>
      <c r="L389">
        <v>1</v>
      </c>
      <c r="M389">
        <v>0</v>
      </c>
      <c r="N389">
        <v>0</v>
      </c>
      <c r="O389">
        <v>2</v>
      </c>
    </row>
    <row r="390" spans="1:15" x14ac:dyDescent="0.3">
      <c r="A390">
        <v>389</v>
      </c>
      <c r="B390" t="s">
        <v>33</v>
      </c>
      <c r="C390" t="s">
        <v>290</v>
      </c>
      <c r="D390" t="s">
        <v>32</v>
      </c>
      <c r="E390" s="1">
        <v>43895</v>
      </c>
      <c r="F390" s="2">
        <f ca="1">DATEDIF(EmpTable[[#This Row],[Start Date]],TODAY(),"Y")</f>
        <v>6</v>
      </c>
      <c r="G390" t="s">
        <v>39</v>
      </c>
      <c r="H390" t="s">
        <v>18</v>
      </c>
      <c r="I390" t="s">
        <v>19</v>
      </c>
      <c r="J390">
        <v>3125</v>
      </c>
      <c r="K390">
        <v>37500</v>
      </c>
      <c r="L390">
        <v>2</v>
      </c>
      <c r="M390">
        <v>6</v>
      </c>
      <c r="N390">
        <v>3</v>
      </c>
      <c r="O390">
        <v>0</v>
      </c>
    </row>
    <row r="391" spans="1:15" x14ac:dyDescent="0.3">
      <c r="A391">
        <v>390</v>
      </c>
      <c r="B391" t="s">
        <v>191</v>
      </c>
      <c r="C391" t="s">
        <v>461</v>
      </c>
      <c r="D391" t="s">
        <v>307</v>
      </c>
      <c r="E391" s="1">
        <v>43958</v>
      </c>
      <c r="F391" s="2">
        <f ca="1">DATEDIF(EmpTable[[#This Row],[Start Date]],TODAY(),"Y")</f>
        <v>6</v>
      </c>
      <c r="G391" t="s">
        <v>41</v>
      </c>
      <c r="H391" t="s">
        <v>29</v>
      </c>
      <c r="I391" t="s">
        <v>19</v>
      </c>
      <c r="J391">
        <v>2232</v>
      </c>
      <c r="K391">
        <v>26784</v>
      </c>
      <c r="L391">
        <v>4.5</v>
      </c>
      <c r="M391">
        <v>0</v>
      </c>
      <c r="N391">
        <v>0</v>
      </c>
      <c r="O391">
        <v>7</v>
      </c>
    </row>
    <row r="392" spans="1:15" x14ac:dyDescent="0.3">
      <c r="A392">
        <v>391</v>
      </c>
      <c r="B392" t="s">
        <v>197</v>
      </c>
      <c r="C392" t="s">
        <v>584</v>
      </c>
      <c r="D392" t="s">
        <v>32</v>
      </c>
      <c r="E392" s="1">
        <v>42823</v>
      </c>
      <c r="F392" s="2">
        <f ca="1">DATEDIF(EmpTable[[#This Row],[Start Date]],TODAY(),"Y")</f>
        <v>9</v>
      </c>
      <c r="G392" t="s">
        <v>77</v>
      </c>
      <c r="H392" t="s">
        <v>48</v>
      </c>
      <c r="I392" t="s">
        <v>42</v>
      </c>
      <c r="J392">
        <v>2513</v>
      </c>
      <c r="K392">
        <v>30156</v>
      </c>
      <c r="L392">
        <v>4.5</v>
      </c>
      <c r="M392">
        <v>2</v>
      </c>
      <c r="N392">
        <v>0</v>
      </c>
      <c r="O392">
        <v>8</v>
      </c>
    </row>
    <row r="393" spans="1:15" x14ac:dyDescent="0.3">
      <c r="A393">
        <v>392</v>
      </c>
      <c r="B393" t="s">
        <v>585</v>
      </c>
      <c r="C393" t="s">
        <v>586</v>
      </c>
      <c r="D393" t="s">
        <v>32</v>
      </c>
      <c r="E393" s="1">
        <v>42788</v>
      </c>
      <c r="F393" s="2">
        <f ca="1">DATEDIF(EmpTable[[#This Row],[Start Date]],TODAY(),"Y")</f>
        <v>9</v>
      </c>
      <c r="G393" t="s">
        <v>53</v>
      </c>
      <c r="H393" t="s">
        <v>48</v>
      </c>
      <c r="I393" t="s">
        <v>60</v>
      </c>
      <c r="J393">
        <v>2818</v>
      </c>
      <c r="K393">
        <v>33816</v>
      </c>
      <c r="L393">
        <v>2</v>
      </c>
      <c r="M393">
        <v>4</v>
      </c>
      <c r="N393">
        <v>0</v>
      </c>
      <c r="O393">
        <v>8</v>
      </c>
    </row>
    <row r="394" spans="1:15" x14ac:dyDescent="0.3">
      <c r="A394">
        <v>393</v>
      </c>
      <c r="B394" t="s">
        <v>30</v>
      </c>
      <c r="C394" t="s">
        <v>326</v>
      </c>
      <c r="D394" t="s">
        <v>32</v>
      </c>
      <c r="E394" s="1">
        <v>43240</v>
      </c>
      <c r="F394" s="2">
        <f ca="1">DATEDIF(EmpTable[[#This Row],[Start Date]],TODAY(),"Y")</f>
        <v>8</v>
      </c>
      <c r="G394" t="s">
        <v>77</v>
      </c>
      <c r="H394" t="s">
        <v>18</v>
      </c>
      <c r="I394" t="s">
        <v>36</v>
      </c>
      <c r="J394">
        <v>2257</v>
      </c>
      <c r="K394">
        <v>27084</v>
      </c>
      <c r="L394">
        <v>3</v>
      </c>
      <c r="M394">
        <v>0</v>
      </c>
      <c r="N394">
        <v>0</v>
      </c>
      <c r="O394">
        <v>6</v>
      </c>
    </row>
    <row r="395" spans="1:15" x14ac:dyDescent="0.3">
      <c r="A395">
        <v>394</v>
      </c>
      <c r="B395" t="s">
        <v>357</v>
      </c>
      <c r="C395" t="s">
        <v>587</v>
      </c>
      <c r="D395" t="s">
        <v>32</v>
      </c>
      <c r="E395" s="1">
        <v>43944</v>
      </c>
      <c r="F395" s="2">
        <f ca="1">DATEDIF(EmpTable[[#This Row],[Start Date]],TODAY(),"Y")</f>
        <v>6</v>
      </c>
      <c r="G395" t="s">
        <v>41</v>
      </c>
      <c r="H395" t="s">
        <v>18</v>
      </c>
      <c r="I395" t="s">
        <v>42</v>
      </c>
      <c r="J395">
        <v>1265</v>
      </c>
      <c r="K395">
        <v>15180</v>
      </c>
      <c r="L395">
        <v>3</v>
      </c>
      <c r="M395">
        <v>0</v>
      </c>
      <c r="N395">
        <v>0</v>
      </c>
      <c r="O395">
        <v>5</v>
      </c>
    </row>
    <row r="396" spans="1:15" x14ac:dyDescent="0.3">
      <c r="A396">
        <v>395</v>
      </c>
      <c r="B396" t="s">
        <v>588</v>
      </c>
      <c r="C396" t="s">
        <v>589</v>
      </c>
      <c r="D396" t="s">
        <v>32</v>
      </c>
      <c r="E396" s="1">
        <v>44130</v>
      </c>
      <c r="F396" s="2">
        <f ca="1">DATEDIF(EmpTable[[#This Row],[Start Date]],TODAY(),"Y")</f>
        <v>5</v>
      </c>
      <c r="G396" t="s">
        <v>73</v>
      </c>
      <c r="H396" t="s">
        <v>29</v>
      </c>
      <c r="I396" t="s">
        <v>42</v>
      </c>
      <c r="J396">
        <v>2207</v>
      </c>
      <c r="K396">
        <v>26484</v>
      </c>
      <c r="L396">
        <v>3</v>
      </c>
      <c r="M396">
        <v>2</v>
      </c>
      <c r="N396">
        <v>0</v>
      </c>
      <c r="O396">
        <v>0</v>
      </c>
    </row>
    <row r="397" spans="1:15" x14ac:dyDescent="0.3">
      <c r="A397">
        <v>396</v>
      </c>
      <c r="B397" t="s">
        <v>33</v>
      </c>
      <c r="C397" t="s">
        <v>590</v>
      </c>
      <c r="D397" t="s">
        <v>32</v>
      </c>
      <c r="E397" s="1">
        <v>43500</v>
      </c>
      <c r="F397" s="2">
        <f ca="1">DATEDIF(EmpTable[[#This Row],[Start Date]],TODAY(),"Y")</f>
        <v>7</v>
      </c>
      <c r="G397" t="s">
        <v>58</v>
      </c>
      <c r="H397" t="s">
        <v>18</v>
      </c>
      <c r="I397" t="s">
        <v>36</v>
      </c>
      <c r="J397">
        <v>2806</v>
      </c>
      <c r="K397">
        <v>33672</v>
      </c>
      <c r="L397">
        <v>3</v>
      </c>
      <c r="M397">
        <v>0</v>
      </c>
      <c r="N397">
        <v>0</v>
      </c>
      <c r="O397">
        <v>4</v>
      </c>
    </row>
    <row r="398" spans="1:15" x14ac:dyDescent="0.3">
      <c r="A398">
        <v>397</v>
      </c>
      <c r="B398" t="s">
        <v>165</v>
      </c>
      <c r="C398" t="s">
        <v>279</v>
      </c>
      <c r="D398" t="s">
        <v>32</v>
      </c>
      <c r="E398" s="1">
        <v>42781</v>
      </c>
      <c r="F398" s="2">
        <f ca="1">DATEDIF(EmpTable[[#This Row],[Start Date]],TODAY(),"Y")</f>
        <v>9</v>
      </c>
      <c r="G398" t="s">
        <v>163</v>
      </c>
      <c r="H398" t="s">
        <v>29</v>
      </c>
      <c r="I398" t="s">
        <v>60</v>
      </c>
      <c r="J398">
        <v>1521</v>
      </c>
      <c r="K398">
        <v>18252</v>
      </c>
      <c r="L398">
        <v>5</v>
      </c>
      <c r="M398">
        <v>6</v>
      </c>
      <c r="N398">
        <v>0</v>
      </c>
      <c r="O398">
        <v>3</v>
      </c>
    </row>
    <row r="399" spans="1:15" x14ac:dyDescent="0.3">
      <c r="A399">
        <v>398</v>
      </c>
      <c r="B399" t="s">
        <v>33</v>
      </c>
      <c r="C399" t="s">
        <v>591</v>
      </c>
      <c r="D399" t="s">
        <v>32</v>
      </c>
      <c r="E399" s="1">
        <v>43197</v>
      </c>
      <c r="F399" s="2">
        <f ca="1">DATEDIF(EmpTable[[#This Row],[Start Date]],TODAY(),"Y")</f>
        <v>8</v>
      </c>
      <c r="G399" t="s">
        <v>53</v>
      </c>
      <c r="H399" t="s">
        <v>18</v>
      </c>
      <c r="I399" t="s">
        <v>60</v>
      </c>
      <c r="J399">
        <v>1867</v>
      </c>
      <c r="K399">
        <v>22404</v>
      </c>
      <c r="L399">
        <v>3</v>
      </c>
      <c r="M399">
        <v>0</v>
      </c>
      <c r="N399">
        <v>0</v>
      </c>
      <c r="O399">
        <v>0</v>
      </c>
    </row>
    <row r="400" spans="1:15" x14ac:dyDescent="0.3">
      <c r="A400">
        <v>399</v>
      </c>
      <c r="B400" t="s">
        <v>592</v>
      </c>
      <c r="C400" t="s">
        <v>593</v>
      </c>
      <c r="D400" t="s">
        <v>307</v>
      </c>
      <c r="E400" s="1">
        <v>43444</v>
      </c>
      <c r="F400" s="2">
        <f ca="1">DATEDIF(EmpTable[[#This Row],[Start Date]],TODAY(),"Y")</f>
        <v>7</v>
      </c>
      <c r="G400" t="s">
        <v>17</v>
      </c>
      <c r="H400" t="s">
        <v>22</v>
      </c>
      <c r="I400" t="s">
        <v>36</v>
      </c>
      <c r="J400">
        <v>2425</v>
      </c>
      <c r="K400">
        <v>29100</v>
      </c>
      <c r="L400">
        <v>5</v>
      </c>
      <c r="M400">
        <v>0</v>
      </c>
      <c r="N400">
        <v>0</v>
      </c>
      <c r="O400">
        <v>10</v>
      </c>
    </row>
    <row r="401" spans="1:15" x14ac:dyDescent="0.3">
      <c r="A401">
        <v>400</v>
      </c>
      <c r="B401" t="s">
        <v>388</v>
      </c>
      <c r="C401" t="s">
        <v>594</v>
      </c>
      <c r="D401" t="s">
        <v>32</v>
      </c>
      <c r="E401" s="1">
        <v>44179</v>
      </c>
      <c r="F401" s="2">
        <f ca="1">DATEDIF(EmpTable[[#This Row],[Start Date]],TODAY(),"Y")</f>
        <v>5</v>
      </c>
      <c r="G401" t="s">
        <v>58</v>
      </c>
      <c r="H401" t="s">
        <v>22</v>
      </c>
      <c r="I401" t="s">
        <v>42</v>
      </c>
      <c r="J401">
        <v>1758</v>
      </c>
      <c r="K401">
        <v>21096</v>
      </c>
      <c r="L401">
        <v>5</v>
      </c>
      <c r="M401">
        <v>0</v>
      </c>
      <c r="N401">
        <v>0</v>
      </c>
      <c r="O401">
        <v>0</v>
      </c>
    </row>
    <row r="402" spans="1:15" x14ac:dyDescent="0.3">
      <c r="A402">
        <v>401</v>
      </c>
      <c r="B402" t="s">
        <v>33</v>
      </c>
      <c r="C402" t="s">
        <v>500</v>
      </c>
      <c r="D402" t="s">
        <v>32</v>
      </c>
      <c r="E402" s="1">
        <v>44191</v>
      </c>
      <c r="F402" s="2">
        <f ca="1">DATEDIF(EmpTable[[#This Row],[Start Date]],TODAY(),"Y")</f>
        <v>5</v>
      </c>
      <c r="G402" t="s">
        <v>28</v>
      </c>
      <c r="H402" t="s">
        <v>48</v>
      </c>
      <c r="I402" t="s">
        <v>898</v>
      </c>
      <c r="J402">
        <v>2832</v>
      </c>
      <c r="K402">
        <v>33984</v>
      </c>
      <c r="L402">
        <v>3</v>
      </c>
      <c r="M402">
        <v>0</v>
      </c>
      <c r="N402">
        <v>0</v>
      </c>
      <c r="O402">
        <v>1</v>
      </c>
    </row>
    <row r="403" spans="1:15" x14ac:dyDescent="0.3">
      <c r="A403">
        <v>402</v>
      </c>
      <c r="B403" t="s">
        <v>595</v>
      </c>
      <c r="C403" t="s">
        <v>596</v>
      </c>
      <c r="D403" t="s">
        <v>307</v>
      </c>
      <c r="E403" s="1">
        <v>42879</v>
      </c>
      <c r="F403" s="2">
        <f ca="1">DATEDIF(EmpTable[[#This Row],[Start Date]],TODAY(),"Y")</f>
        <v>9</v>
      </c>
      <c r="G403" t="s">
        <v>58</v>
      </c>
      <c r="H403" t="s">
        <v>18</v>
      </c>
      <c r="I403" t="s">
        <v>36</v>
      </c>
      <c r="J403">
        <v>1371</v>
      </c>
      <c r="K403">
        <v>16452</v>
      </c>
      <c r="L403">
        <v>1</v>
      </c>
      <c r="M403">
        <v>1</v>
      </c>
      <c r="N403">
        <v>0</v>
      </c>
      <c r="O403">
        <v>8</v>
      </c>
    </row>
    <row r="404" spans="1:15" x14ac:dyDescent="0.3">
      <c r="A404">
        <v>403</v>
      </c>
      <c r="B404" t="s">
        <v>33</v>
      </c>
      <c r="C404" t="s">
        <v>597</v>
      </c>
      <c r="D404" t="s">
        <v>32</v>
      </c>
      <c r="E404" s="1">
        <v>43461</v>
      </c>
      <c r="F404" s="2">
        <f ca="1">DATEDIF(EmpTable[[#This Row],[Start Date]],TODAY(),"Y")</f>
        <v>7</v>
      </c>
      <c r="G404" t="s">
        <v>58</v>
      </c>
      <c r="H404" t="s">
        <v>18</v>
      </c>
      <c r="I404" t="s">
        <v>898</v>
      </c>
      <c r="J404">
        <v>2904</v>
      </c>
      <c r="K404">
        <v>34848</v>
      </c>
      <c r="L404">
        <v>5</v>
      </c>
      <c r="M404">
        <v>6</v>
      </c>
      <c r="N404">
        <v>0</v>
      </c>
      <c r="O404">
        <v>3</v>
      </c>
    </row>
    <row r="405" spans="1:15" x14ac:dyDescent="0.3">
      <c r="A405">
        <v>404</v>
      </c>
      <c r="B405" t="s">
        <v>310</v>
      </c>
      <c r="C405" t="s">
        <v>598</v>
      </c>
      <c r="D405" t="s">
        <v>307</v>
      </c>
      <c r="E405" s="1">
        <v>43512</v>
      </c>
      <c r="F405" s="2">
        <f ca="1">DATEDIF(EmpTable[[#This Row],[Start Date]],TODAY(),"Y")</f>
        <v>7</v>
      </c>
      <c r="G405" t="s">
        <v>35</v>
      </c>
      <c r="H405" t="s">
        <v>294</v>
      </c>
      <c r="I405" t="s">
        <v>42</v>
      </c>
      <c r="J405">
        <v>3285</v>
      </c>
      <c r="K405">
        <v>39420</v>
      </c>
      <c r="L405">
        <v>3</v>
      </c>
      <c r="M405">
        <v>2</v>
      </c>
      <c r="N405">
        <v>0</v>
      </c>
      <c r="O405">
        <v>0</v>
      </c>
    </row>
    <row r="406" spans="1:15" x14ac:dyDescent="0.3">
      <c r="A406">
        <v>405</v>
      </c>
      <c r="B406" t="s">
        <v>599</v>
      </c>
      <c r="C406" t="s">
        <v>600</v>
      </c>
      <c r="D406" t="s">
        <v>32</v>
      </c>
      <c r="E406" s="1">
        <v>43290</v>
      </c>
      <c r="F406" s="2">
        <f ca="1">DATEDIF(EmpTable[[#This Row],[Start Date]],TODAY(),"Y")</f>
        <v>8</v>
      </c>
      <c r="G406" t="s">
        <v>53</v>
      </c>
      <c r="H406" t="s">
        <v>18</v>
      </c>
      <c r="I406" t="s">
        <v>19</v>
      </c>
      <c r="J406">
        <v>2964</v>
      </c>
      <c r="K406">
        <v>35568</v>
      </c>
      <c r="L406">
        <v>5</v>
      </c>
      <c r="M406">
        <v>2</v>
      </c>
      <c r="N406">
        <v>0</v>
      </c>
      <c r="O406">
        <v>45</v>
      </c>
    </row>
    <row r="407" spans="1:15" x14ac:dyDescent="0.3">
      <c r="A407">
        <v>406</v>
      </c>
      <c r="B407" t="s">
        <v>601</v>
      </c>
      <c r="C407" t="s">
        <v>602</v>
      </c>
      <c r="D407" t="s">
        <v>307</v>
      </c>
      <c r="E407" s="1">
        <v>43195</v>
      </c>
      <c r="F407" s="2">
        <f ca="1">DATEDIF(EmpTable[[#This Row],[Start Date]],TODAY(),"Y")</f>
        <v>8</v>
      </c>
      <c r="G407" t="s">
        <v>41</v>
      </c>
      <c r="H407" t="s">
        <v>29</v>
      </c>
      <c r="I407" t="s">
        <v>36</v>
      </c>
      <c r="J407">
        <v>974</v>
      </c>
      <c r="K407">
        <v>11688</v>
      </c>
      <c r="L407">
        <v>2</v>
      </c>
      <c r="M407">
        <v>5</v>
      </c>
      <c r="N407">
        <v>0</v>
      </c>
      <c r="O407">
        <v>5</v>
      </c>
    </row>
    <row r="408" spans="1:15" x14ac:dyDescent="0.3">
      <c r="A408">
        <v>407</v>
      </c>
      <c r="B408" t="s">
        <v>603</v>
      </c>
      <c r="C408" t="s">
        <v>604</v>
      </c>
      <c r="D408" t="s">
        <v>307</v>
      </c>
      <c r="E408" s="1">
        <v>43579</v>
      </c>
      <c r="F408" s="2">
        <f ca="1">DATEDIF(EmpTable[[#This Row],[Start Date]],TODAY(),"Y")</f>
        <v>7</v>
      </c>
      <c r="G408" t="s">
        <v>41</v>
      </c>
      <c r="H408" t="s">
        <v>22</v>
      </c>
      <c r="I408" t="s">
        <v>898</v>
      </c>
      <c r="J408">
        <v>2607</v>
      </c>
      <c r="K408">
        <v>31284</v>
      </c>
      <c r="L408">
        <v>4.5</v>
      </c>
      <c r="M408">
        <v>0</v>
      </c>
      <c r="N408">
        <v>0</v>
      </c>
      <c r="O408">
        <v>9</v>
      </c>
    </row>
    <row r="409" spans="1:15" x14ac:dyDescent="0.3">
      <c r="A409">
        <v>408</v>
      </c>
      <c r="B409" t="s">
        <v>605</v>
      </c>
      <c r="C409" t="s">
        <v>311</v>
      </c>
      <c r="D409" t="s">
        <v>307</v>
      </c>
      <c r="E409" s="1">
        <v>42998</v>
      </c>
      <c r="F409" s="2">
        <f ca="1">DATEDIF(EmpTable[[#This Row],[Start Date]],TODAY(),"Y")</f>
        <v>8</v>
      </c>
      <c r="G409" t="s">
        <v>17</v>
      </c>
      <c r="H409" t="s">
        <v>18</v>
      </c>
      <c r="I409" t="s">
        <v>42</v>
      </c>
      <c r="J409">
        <v>1550</v>
      </c>
      <c r="K409">
        <v>18600</v>
      </c>
      <c r="L409">
        <v>1</v>
      </c>
      <c r="M409">
        <v>0</v>
      </c>
      <c r="N409">
        <v>0</v>
      </c>
      <c r="O409">
        <v>3</v>
      </c>
    </row>
    <row r="410" spans="1:15" x14ac:dyDescent="0.3">
      <c r="A410">
        <v>409</v>
      </c>
      <c r="B410" t="s">
        <v>606</v>
      </c>
      <c r="C410" t="s">
        <v>607</v>
      </c>
      <c r="D410" t="s">
        <v>307</v>
      </c>
      <c r="E410" s="1">
        <v>42574</v>
      </c>
      <c r="F410" s="2">
        <f ca="1">DATEDIF(EmpTable[[#This Row],[Start Date]],TODAY(),"Y")</f>
        <v>10</v>
      </c>
      <c r="G410" t="s">
        <v>39</v>
      </c>
      <c r="H410" t="s">
        <v>18</v>
      </c>
      <c r="I410" t="s">
        <v>42</v>
      </c>
      <c r="J410">
        <v>1631</v>
      </c>
      <c r="K410">
        <v>19572</v>
      </c>
      <c r="L410">
        <v>4.5</v>
      </c>
      <c r="M410">
        <v>0</v>
      </c>
      <c r="N410">
        <v>0</v>
      </c>
      <c r="O410">
        <v>4</v>
      </c>
    </row>
    <row r="411" spans="1:15" x14ac:dyDescent="0.3">
      <c r="A411">
        <v>410</v>
      </c>
      <c r="B411" t="s">
        <v>234</v>
      </c>
      <c r="C411" t="s">
        <v>608</v>
      </c>
      <c r="D411" t="s">
        <v>32</v>
      </c>
      <c r="E411" s="1">
        <v>43506</v>
      </c>
      <c r="F411" s="2">
        <f ca="1">DATEDIF(EmpTable[[#This Row],[Start Date]],TODAY(),"Y")</f>
        <v>7</v>
      </c>
      <c r="G411" t="s">
        <v>58</v>
      </c>
      <c r="H411" t="s">
        <v>18</v>
      </c>
      <c r="I411" t="s">
        <v>898</v>
      </c>
      <c r="J411">
        <v>3003</v>
      </c>
      <c r="K411">
        <v>36036</v>
      </c>
      <c r="L411">
        <v>1</v>
      </c>
      <c r="M411">
        <v>6</v>
      </c>
      <c r="N411">
        <v>1</v>
      </c>
      <c r="O411">
        <v>6</v>
      </c>
    </row>
    <row r="412" spans="1:15" x14ac:dyDescent="0.3">
      <c r="A412">
        <v>411</v>
      </c>
      <c r="B412" t="s">
        <v>609</v>
      </c>
      <c r="C412" t="s">
        <v>33</v>
      </c>
      <c r="D412" t="s">
        <v>32</v>
      </c>
      <c r="E412" s="1">
        <v>43800</v>
      </c>
      <c r="F412" s="2">
        <f ca="1">DATEDIF(EmpTable[[#This Row],[Start Date]],TODAY(),"Y")</f>
        <v>6</v>
      </c>
      <c r="G412" t="s">
        <v>28</v>
      </c>
      <c r="H412" t="s">
        <v>18</v>
      </c>
      <c r="I412" t="s">
        <v>19</v>
      </c>
      <c r="J412">
        <v>913</v>
      </c>
      <c r="K412">
        <v>10956</v>
      </c>
      <c r="L412">
        <v>5</v>
      </c>
      <c r="M412">
        <v>0</v>
      </c>
      <c r="N412">
        <v>0</v>
      </c>
      <c r="O412">
        <v>12</v>
      </c>
    </row>
    <row r="413" spans="1:15" x14ac:dyDescent="0.3">
      <c r="A413">
        <v>412</v>
      </c>
      <c r="B413" t="s">
        <v>69</v>
      </c>
      <c r="C413" t="s">
        <v>610</v>
      </c>
      <c r="D413" t="s">
        <v>32</v>
      </c>
      <c r="E413" s="1">
        <v>42934</v>
      </c>
      <c r="F413" s="2">
        <f ca="1">DATEDIF(EmpTable[[#This Row],[Start Date]],TODAY(),"Y")</f>
        <v>9</v>
      </c>
      <c r="G413" t="s">
        <v>53</v>
      </c>
      <c r="H413" t="s">
        <v>18</v>
      </c>
      <c r="I413" t="s">
        <v>60</v>
      </c>
      <c r="J413">
        <v>2076</v>
      </c>
      <c r="K413">
        <v>24912</v>
      </c>
      <c r="L413">
        <v>3</v>
      </c>
      <c r="M413">
        <v>0</v>
      </c>
      <c r="N413">
        <v>0</v>
      </c>
      <c r="O413">
        <v>4</v>
      </c>
    </row>
    <row r="414" spans="1:15" x14ac:dyDescent="0.3">
      <c r="A414">
        <v>413</v>
      </c>
      <c r="B414" t="s">
        <v>59</v>
      </c>
      <c r="C414" t="s">
        <v>611</v>
      </c>
      <c r="D414" t="s">
        <v>307</v>
      </c>
      <c r="E414" s="1">
        <v>44008</v>
      </c>
      <c r="F414" s="2">
        <f ca="1">DATEDIF(EmpTable[[#This Row],[Start Date]],TODAY(),"Y")</f>
        <v>6</v>
      </c>
      <c r="G414" t="s">
        <v>53</v>
      </c>
      <c r="H414" t="s">
        <v>18</v>
      </c>
      <c r="I414" t="s">
        <v>19</v>
      </c>
      <c r="J414">
        <v>2749</v>
      </c>
      <c r="K414">
        <v>32988</v>
      </c>
      <c r="L414">
        <v>3</v>
      </c>
      <c r="M414">
        <v>5</v>
      </c>
      <c r="N414">
        <v>4</v>
      </c>
      <c r="O414">
        <v>0</v>
      </c>
    </row>
    <row r="415" spans="1:15" x14ac:dyDescent="0.3">
      <c r="A415">
        <v>414</v>
      </c>
      <c r="B415" t="s">
        <v>612</v>
      </c>
      <c r="C415" t="s">
        <v>613</v>
      </c>
      <c r="D415" t="s">
        <v>307</v>
      </c>
      <c r="E415" s="1">
        <v>43490</v>
      </c>
      <c r="F415" s="2">
        <f ca="1">DATEDIF(EmpTable[[#This Row],[Start Date]],TODAY(),"Y")</f>
        <v>7</v>
      </c>
      <c r="G415" t="s">
        <v>50</v>
      </c>
      <c r="H415" t="s">
        <v>22</v>
      </c>
      <c r="I415" t="s">
        <v>19</v>
      </c>
      <c r="J415">
        <v>2617</v>
      </c>
      <c r="K415">
        <v>31404</v>
      </c>
      <c r="L415">
        <v>4.5</v>
      </c>
      <c r="M415">
        <v>1</v>
      </c>
      <c r="N415">
        <v>0</v>
      </c>
      <c r="O415">
        <v>5</v>
      </c>
    </row>
    <row r="416" spans="1:15" x14ac:dyDescent="0.3">
      <c r="A416">
        <v>415</v>
      </c>
      <c r="B416" t="s">
        <v>186</v>
      </c>
      <c r="C416" t="s">
        <v>614</v>
      </c>
      <c r="D416" t="s">
        <v>32</v>
      </c>
      <c r="E416" s="1">
        <v>43697</v>
      </c>
      <c r="F416" s="2">
        <f ca="1">DATEDIF(EmpTable[[#This Row],[Start Date]],TODAY(),"Y")</f>
        <v>7</v>
      </c>
      <c r="G416" t="s">
        <v>50</v>
      </c>
      <c r="H416" t="s">
        <v>29</v>
      </c>
      <c r="I416" t="s">
        <v>36</v>
      </c>
      <c r="J416">
        <v>1680</v>
      </c>
      <c r="K416">
        <v>20160</v>
      </c>
      <c r="L416">
        <v>5</v>
      </c>
      <c r="M416">
        <v>1</v>
      </c>
      <c r="N416">
        <v>0</v>
      </c>
      <c r="O416">
        <v>35</v>
      </c>
    </row>
    <row r="417" spans="1:15" x14ac:dyDescent="0.3">
      <c r="A417">
        <v>416</v>
      </c>
      <c r="B417" t="s">
        <v>219</v>
      </c>
      <c r="C417" t="s">
        <v>328</v>
      </c>
      <c r="D417" t="s">
        <v>32</v>
      </c>
      <c r="E417" s="1">
        <v>43899</v>
      </c>
      <c r="F417" s="2">
        <f ca="1">DATEDIF(EmpTable[[#This Row],[Start Date]],TODAY(),"Y")</f>
        <v>6</v>
      </c>
      <c r="G417" t="s">
        <v>45</v>
      </c>
      <c r="H417" t="s">
        <v>18</v>
      </c>
      <c r="I417" t="s">
        <v>42</v>
      </c>
      <c r="J417">
        <v>2824</v>
      </c>
      <c r="K417">
        <v>33888</v>
      </c>
      <c r="L417">
        <v>3</v>
      </c>
      <c r="M417">
        <v>3</v>
      </c>
      <c r="N417">
        <v>0</v>
      </c>
      <c r="O417">
        <v>3</v>
      </c>
    </row>
    <row r="418" spans="1:15" x14ac:dyDescent="0.3">
      <c r="A418">
        <v>417</v>
      </c>
      <c r="B418" t="s">
        <v>615</v>
      </c>
      <c r="C418" t="s">
        <v>616</v>
      </c>
      <c r="D418" t="s">
        <v>307</v>
      </c>
      <c r="E418" s="1">
        <v>43004</v>
      </c>
      <c r="F418" s="2">
        <f ca="1">DATEDIF(EmpTable[[#This Row],[Start Date]],TODAY(),"Y")</f>
        <v>8</v>
      </c>
      <c r="G418" t="s">
        <v>35</v>
      </c>
      <c r="H418" t="s">
        <v>18</v>
      </c>
      <c r="I418" t="s">
        <v>19</v>
      </c>
      <c r="J418">
        <v>1646</v>
      </c>
      <c r="K418">
        <v>19752</v>
      </c>
      <c r="L418">
        <v>5</v>
      </c>
      <c r="M418">
        <v>0</v>
      </c>
      <c r="N418">
        <v>0</v>
      </c>
      <c r="O418">
        <v>7</v>
      </c>
    </row>
    <row r="419" spans="1:15" x14ac:dyDescent="0.3">
      <c r="A419">
        <v>418</v>
      </c>
      <c r="B419" t="s">
        <v>617</v>
      </c>
      <c r="C419" t="s">
        <v>618</v>
      </c>
      <c r="D419" t="s">
        <v>307</v>
      </c>
      <c r="E419" s="1">
        <v>43438</v>
      </c>
      <c r="F419" s="2">
        <f ca="1">DATEDIF(EmpTable[[#This Row],[Start Date]],TODAY(),"Y")</f>
        <v>7</v>
      </c>
      <c r="G419" t="s">
        <v>17</v>
      </c>
      <c r="H419" t="s">
        <v>18</v>
      </c>
      <c r="I419" t="s">
        <v>60</v>
      </c>
      <c r="J419">
        <v>979</v>
      </c>
      <c r="K419">
        <v>11748</v>
      </c>
      <c r="L419">
        <v>5</v>
      </c>
      <c r="M419">
        <v>5</v>
      </c>
      <c r="N419">
        <v>0</v>
      </c>
      <c r="O419">
        <v>8</v>
      </c>
    </row>
    <row r="420" spans="1:15" x14ac:dyDescent="0.3">
      <c r="A420">
        <v>419</v>
      </c>
      <c r="B420" t="s">
        <v>619</v>
      </c>
      <c r="C420" t="s">
        <v>620</v>
      </c>
      <c r="D420" t="s">
        <v>307</v>
      </c>
      <c r="E420" s="1">
        <v>43467</v>
      </c>
      <c r="F420" s="2">
        <f ca="1">DATEDIF(EmpTable[[#This Row],[Start Date]],TODAY(),"Y")</f>
        <v>7</v>
      </c>
      <c r="G420" t="s">
        <v>77</v>
      </c>
      <c r="H420" t="s">
        <v>48</v>
      </c>
      <c r="I420" t="s">
        <v>19</v>
      </c>
      <c r="J420">
        <v>1274</v>
      </c>
      <c r="K420">
        <v>15288</v>
      </c>
      <c r="L420">
        <v>3</v>
      </c>
      <c r="M420">
        <v>0</v>
      </c>
      <c r="N420">
        <v>0</v>
      </c>
      <c r="O420">
        <v>7</v>
      </c>
    </row>
    <row r="421" spans="1:15" x14ac:dyDescent="0.3">
      <c r="A421">
        <v>420</v>
      </c>
      <c r="B421" t="s">
        <v>426</v>
      </c>
      <c r="C421" t="s">
        <v>437</v>
      </c>
      <c r="D421" t="s">
        <v>307</v>
      </c>
      <c r="E421" s="1">
        <v>43765</v>
      </c>
      <c r="F421" s="2">
        <f ca="1">DATEDIF(EmpTable[[#This Row],[Start Date]],TODAY(),"Y")</f>
        <v>6</v>
      </c>
      <c r="G421" t="s">
        <v>53</v>
      </c>
      <c r="H421" t="s">
        <v>18</v>
      </c>
      <c r="I421" t="s">
        <v>36</v>
      </c>
      <c r="J421">
        <v>2715</v>
      </c>
      <c r="K421">
        <v>32580</v>
      </c>
      <c r="L421">
        <v>2</v>
      </c>
      <c r="M421">
        <v>0</v>
      </c>
      <c r="N421">
        <v>0</v>
      </c>
      <c r="O421">
        <v>3</v>
      </c>
    </row>
    <row r="422" spans="1:15" x14ac:dyDescent="0.3">
      <c r="A422">
        <v>421</v>
      </c>
      <c r="B422" t="s">
        <v>621</v>
      </c>
      <c r="C422" t="s">
        <v>622</v>
      </c>
      <c r="D422" t="s">
        <v>32</v>
      </c>
      <c r="E422" s="1">
        <v>43781</v>
      </c>
      <c r="F422" s="2">
        <f ca="1">DATEDIF(EmpTable[[#This Row],[Start Date]],TODAY(),"Y")</f>
        <v>6</v>
      </c>
      <c r="G422" t="s">
        <v>28</v>
      </c>
      <c r="H422" t="s">
        <v>48</v>
      </c>
      <c r="I422" t="s">
        <v>36</v>
      </c>
      <c r="J422">
        <v>1158</v>
      </c>
      <c r="K422">
        <v>13896</v>
      </c>
      <c r="L422">
        <v>5</v>
      </c>
      <c r="M422">
        <v>0</v>
      </c>
      <c r="N422">
        <v>0</v>
      </c>
      <c r="O422">
        <v>0</v>
      </c>
    </row>
    <row r="423" spans="1:15" x14ac:dyDescent="0.3">
      <c r="A423">
        <v>422</v>
      </c>
      <c r="B423" t="s">
        <v>223</v>
      </c>
      <c r="C423" t="s">
        <v>623</v>
      </c>
      <c r="D423" t="s">
        <v>32</v>
      </c>
      <c r="E423" s="1">
        <v>43314</v>
      </c>
      <c r="F423" s="2">
        <f ca="1">DATEDIF(EmpTable[[#This Row],[Start Date]],TODAY(),"Y")</f>
        <v>8</v>
      </c>
      <c r="G423" t="s">
        <v>58</v>
      </c>
      <c r="H423" t="s">
        <v>18</v>
      </c>
      <c r="I423" t="s">
        <v>898</v>
      </c>
      <c r="J423">
        <v>1986</v>
      </c>
      <c r="K423">
        <v>23832</v>
      </c>
      <c r="L423">
        <v>3</v>
      </c>
      <c r="M423">
        <v>1</v>
      </c>
      <c r="N423">
        <v>0</v>
      </c>
      <c r="O423">
        <v>14</v>
      </c>
    </row>
    <row r="424" spans="1:15" x14ac:dyDescent="0.3">
      <c r="A424">
        <v>423</v>
      </c>
      <c r="B424" t="s">
        <v>186</v>
      </c>
      <c r="C424" t="s">
        <v>624</v>
      </c>
      <c r="D424" t="s">
        <v>32</v>
      </c>
      <c r="E424" s="1">
        <v>43826</v>
      </c>
      <c r="F424" s="2">
        <f ca="1">DATEDIF(EmpTable[[#This Row],[Start Date]],TODAY(),"Y")</f>
        <v>6</v>
      </c>
      <c r="G424" t="s">
        <v>28</v>
      </c>
      <c r="H424" t="s">
        <v>22</v>
      </c>
      <c r="I424" t="s">
        <v>60</v>
      </c>
      <c r="J424">
        <v>3299</v>
      </c>
      <c r="K424">
        <v>39588</v>
      </c>
      <c r="L424">
        <v>5</v>
      </c>
      <c r="M424">
        <v>1</v>
      </c>
      <c r="N424">
        <v>0</v>
      </c>
      <c r="O424">
        <v>0</v>
      </c>
    </row>
    <row r="425" spans="1:15" x14ac:dyDescent="0.3">
      <c r="A425">
        <v>424</v>
      </c>
      <c r="B425" t="s">
        <v>66</v>
      </c>
      <c r="C425" t="s">
        <v>427</v>
      </c>
      <c r="D425" t="s">
        <v>32</v>
      </c>
      <c r="E425" s="1">
        <v>43062</v>
      </c>
      <c r="F425" s="2">
        <f ca="1">DATEDIF(EmpTable[[#This Row],[Start Date]],TODAY(),"Y")</f>
        <v>8</v>
      </c>
      <c r="G425" t="s">
        <v>17</v>
      </c>
      <c r="H425" t="s">
        <v>18</v>
      </c>
      <c r="I425" t="s">
        <v>42</v>
      </c>
      <c r="J425">
        <v>2405</v>
      </c>
      <c r="K425">
        <v>28860</v>
      </c>
      <c r="L425">
        <v>5</v>
      </c>
      <c r="M425">
        <v>0</v>
      </c>
      <c r="N425">
        <v>0</v>
      </c>
      <c r="O425">
        <v>97</v>
      </c>
    </row>
    <row r="426" spans="1:15" x14ac:dyDescent="0.3">
      <c r="A426">
        <v>425</v>
      </c>
      <c r="B426" t="s">
        <v>263</v>
      </c>
      <c r="C426" t="s">
        <v>625</v>
      </c>
      <c r="D426" t="s">
        <v>32</v>
      </c>
      <c r="E426" s="1">
        <v>44027</v>
      </c>
      <c r="F426" s="2">
        <f ca="1">DATEDIF(EmpTable[[#This Row],[Start Date]],TODAY(),"Y")</f>
        <v>6</v>
      </c>
      <c r="G426" t="s">
        <v>53</v>
      </c>
      <c r="H426" t="s">
        <v>18</v>
      </c>
      <c r="I426" t="s">
        <v>36</v>
      </c>
      <c r="J426">
        <v>2205</v>
      </c>
      <c r="K426">
        <v>26460</v>
      </c>
      <c r="L426">
        <v>3</v>
      </c>
      <c r="M426">
        <v>0</v>
      </c>
      <c r="N426">
        <v>0</v>
      </c>
      <c r="O426">
        <v>4</v>
      </c>
    </row>
    <row r="427" spans="1:15" x14ac:dyDescent="0.3">
      <c r="A427">
        <v>426</v>
      </c>
      <c r="B427" t="s">
        <v>33</v>
      </c>
      <c r="C427" t="s">
        <v>626</v>
      </c>
      <c r="D427" t="s">
        <v>32</v>
      </c>
      <c r="E427" s="1">
        <v>42562</v>
      </c>
      <c r="F427" s="2">
        <f ca="1">DATEDIF(EmpTable[[#This Row],[Start Date]],TODAY(),"Y")</f>
        <v>10</v>
      </c>
      <c r="G427" t="s">
        <v>28</v>
      </c>
      <c r="H427" t="s">
        <v>18</v>
      </c>
      <c r="I427" t="s">
        <v>898</v>
      </c>
      <c r="J427">
        <v>2651</v>
      </c>
      <c r="K427">
        <v>31812</v>
      </c>
      <c r="L427">
        <v>3</v>
      </c>
      <c r="M427">
        <v>0</v>
      </c>
      <c r="N427">
        <v>0</v>
      </c>
      <c r="O427">
        <v>6</v>
      </c>
    </row>
    <row r="428" spans="1:15" x14ac:dyDescent="0.3">
      <c r="A428">
        <v>427</v>
      </c>
      <c r="B428" t="s">
        <v>30</v>
      </c>
      <c r="C428" t="s">
        <v>231</v>
      </c>
      <c r="D428" t="s">
        <v>32</v>
      </c>
      <c r="E428" s="1">
        <v>43615</v>
      </c>
      <c r="F428" s="2">
        <f ca="1">DATEDIF(EmpTable[[#This Row],[Start Date]],TODAY(),"Y")</f>
        <v>7</v>
      </c>
      <c r="G428" t="s">
        <v>41</v>
      </c>
      <c r="H428" t="s">
        <v>18</v>
      </c>
      <c r="I428" t="s">
        <v>36</v>
      </c>
      <c r="J428">
        <v>1693</v>
      </c>
      <c r="K428">
        <v>20316</v>
      </c>
      <c r="L428">
        <v>4.5</v>
      </c>
      <c r="M428">
        <v>2</v>
      </c>
      <c r="N428">
        <v>5</v>
      </c>
      <c r="O428">
        <v>6</v>
      </c>
    </row>
    <row r="429" spans="1:15" x14ac:dyDescent="0.3">
      <c r="A429">
        <v>428</v>
      </c>
      <c r="B429" t="s">
        <v>172</v>
      </c>
      <c r="C429" t="s">
        <v>627</v>
      </c>
      <c r="D429" t="s">
        <v>307</v>
      </c>
      <c r="E429" s="1">
        <v>43821</v>
      </c>
      <c r="F429" s="2">
        <f ca="1">DATEDIF(EmpTable[[#This Row],[Start Date]],TODAY(),"Y")</f>
        <v>6</v>
      </c>
      <c r="G429" t="s">
        <v>39</v>
      </c>
      <c r="H429" t="s">
        <v>18</v>
      </c>
      <c r="I429" t="s">
        <v>42</v>
      </c>
      <c r="J429">
        <v>1690</v>
      </c>
      <c r="K429">
        <v>20280</v>
      </c>
      <c r="L429">
        <v>1</v>
      </c>
      <c r="M429">
        <v>0</v>
      </c>
      <c r="N429">
        <v>0</v>
      </c>
      <c r="O429">
        <v>6</v>
      </c>
    </row>
    <row r="430" spans="1:15" x14ac:dyDescent="0.3">
      <c r="A430">
        <v>429</v>
      </c>
      <c r="B430" t="s">
        <v>20</v>
      </c>
      <c r="C430" t="s">
        <v>628</v>
      </c>
      <c r="D430" t="s">
        <v>32</v>
      </c>
      <c r="E430" s="1">
        <v>43499</v>
      </c>
      <c r="F430" s="2">
        <f ca="1">DATEDIF(EmpTable[[#This Row],[Start Date]],TODAY(),"Y")</f>
        <v>7</v>
      </c>
      <c r="G430" t="s">
        <v>41</v>
      </c>
      <c r="H430" t="s">
        <v>18</v>
      </c>
      <c r="I430" t="s">
        <v>42</v>
      </c>
      <c r="J430">
        <v>766</v>
      </c>
      <c r="K430">
        <v>9192</v>
      </c>
      <c r="L430">
        <v>3</v>
      </c>
      <c r="M430">
        <v>0</v>
      </c>
      <c r="N430">
        <v>0</v>
      </c>
      <c r="O430">
        <v>5</v>
      </c>
    </row>
    <row r="431" spans="1:15" x14ac:dyDescent="0.3">
      <c r="A431">
        <v>430</v>
      </c>
      <c r="B431" t="s">
        <v>67</v>
      </c>
      <c r="C431" t="s">
        <v>629</v>
      </c>
      <c r="D431" t="s">
        <v>32</v>
      </c>
      <c r="E431" s="1">
        <v>43661</v>
      </c>
      <c r="F431" s="2">
        <f ca="1">DATEDIF(EmpTable[[#This Row],[Start Date]],TODAY(),"Y")</f>
        <v>7</v>
      </c>
      <c r="G431" t="s">
        <v>144</v>
      </c>
      <c r="H431" t="s">
        <v>18</v>
      </c>
      <c r="I431" t="s">
        <v>60</v>
      </c>
      <c r="J431">
        <v>2542</v>
      </c>
      <c r="K431">
        <v>30504</v>
      </c>
      <c r="L431">
        <v>3</v>
      </c>
      <c r="M431">
        <v>1</v>
      </c>
      <c r="N431">
        <v>0</v>
      </c>
      <c r="O431">
        <v>3</v>
      </c>
    </row>
    <row r="432" spans="1:15" x14ac:dyDescent="0.3">
      <c r="A432">
        <v>431</v>
      </c>
      <c r="B432" t="s">
        <v>210</v>
      </c>
      <c r="C432" t="s">
        <v>475</v>
      </c>
      <c r="D432" t="s">
        <v>307</v>
      </c>
      <c r="E432" s="1">
        <v>42654</v>
      </c>
      <c r="F432" s="2">
        <f ca="1">DATEDIF(EmpTable[[#This Row],[Start Date]],TODAY(),"Y")</f>
        <v>9</v>
      </c>
      <c r="G432" t="s">
        <v>88</v>
      </c>
      <c r="H432" t="s">
        <v>29</v>
      </c>
      <c r="I432" t="s">
        <v>898</v>
      </c>
      <c r="J432">
        <v>1966</v>
      </c>
      <c r="K432">
        <v>23592</v>
      </c>
      <c r="L432">
        <v>4.5</v>
      </c>
      <c r="M432">
        <v>0</v>
      </c>
      <c r="N432">
        <v>0</v>
      </c>
      <c r="O432">
        <v>8</v>
      </c>
    </row>
    <row r="433" spans="1:15" x14ac:dyDescent="0.3">
      <c r="A433">
        <v>432</v>
      </c>
      <c r="B433" t="s">
        <v>33</v>
      </c>
      <c r="C433" t="s">
        <v>630</v>
      </c>
      <c r="D433" t="s">
        <v>32</v>
      </c>
      <c r="E433" s="1">
        <v>43652</v>
      </c>
      <c r="F433" s="2">
        <f ca="1">DATEDIF(EmpTable[[#This Row],[Start Date]],TODAY(),"Y")</f>
        <v>7</v>
      </c>
      <c r="G433" t="s">
        <v>28</v>
      </c>
      <c r="H433" t="s">
        <v>18</v>
      </c>
      <c r="I433" t="s">
        <v>42</v>
      </c>
      <c r="J433">
        <v>2977</v>
      </c>
      <c r="K433">
        <v>35724</v>
      </c>
      <c r="L433">
        <v>4.5</v>
      </c>
      <c r="M433">
        <v>0</v>
      </c>
      <c r="N433">
        <v>0</v>
      </c>
      <c r="O433">
        <v>8</v>
      </c>
    </row>
    <row r="434" spans="1:15" x14ac:dyDescent="0.3">
      <c r="A434">
        <v>433</v>
      </c>
      <c r="B434" t="s">
        <v>67</v>
      </c>
      <c r="C434" t="s">
        <v>631</v>
      </c>
      <c r="D434" t="s">
        <v>32</v>
      </c>
      <c r="E434" s="1">
        <v>43043</v>
      </c>
      <c r="F434" s="2">
        <f ca="1">DATEDIF(EmpTable[[#This Row],[Start Date]],TODAY(),"Y")</f>
        <v>8</v>
      </c>
      <c r="G434" t="s">
        <v>77</v>
      </c>
      <c r="H434" t="s">
        <v>29</v>
      </c>
      <c r="I434" t="s">
        <v>42</v>
      </c>
      <c r="J434">
        <v>1404</v>
      </c>
      <c r="K434">
        <v>16848</v>
      </c>
      <c r="L434">
        <v>1</v>
      </c>
      <c r="M434">
        <v>5</v>
      </c>
      <c r="N434">
        <v>0</v>
      </c>
      <c r="O434">
        <v>10</v>
      </c>
    </row>
    <row r="435" spans="1:15" x14ac:dyDescent="0.3">
      <c r="A435">
        <v>434</v>
      </c>
      <c r="B435" t="s">
        <v>295</v>
      </c>
      <c r="C435" t="s">
        <v>632</v>
      </c>
      <c r="D435" t="s">
        <v>307</v>
      </c>
      <c r="E435" s="1">
        <v>43136</v>
      </c>
      <c r="F435" s="2">
        <f ca="1">DATEDIF(EmpTable[[#This Row],[Start Date]],TODAY(),"Y")</f>
        <v>8</v>
      </c>
      <c r="G435" t="s">
        <v>17</v>
      </c>
      <c r="H435" t="s">
        <v>48</v>
      </c>
      <c r="I435" t="s">
        <v>36</v>
      </c>
      <c r="J435">
        <v>1848</v>
      </c>
      <c r="K435">
        <v>22176</v>
      </c>
      <c r="L435">
        <v>3</v>
      </c>
      <c r="M435">
        <v>0</v>
      </c>
      <c r="N435">
        <v>0</v>
      </c>
      <c r="O435">
        <v>2</v>
      </c>
    </row>
    <row r="436" spans="1:15" x14ac:dyDescent="0.3">
      <c r="A436">
        <v>435</v>
      </c>
      <c r="B436" t="s">
        <v>37</v>
      </c>
      <c r="C436" t="s">
        <v>633</v>
      </c>
      <c r="D436" t="s">
        <v>307</v>
      </c>
      <c r="E436" s="1">
        <v>44082</v>
      </c>
      <c r="F436" s="2">
        <f ca="1">DATEDIF(EmpTable[[#This Row],[Start Date]],TODAY(),"Y")</f>
        <v>5</v>
      </c>
      <c r="G436" t="s">
        <v>28</v>
      </c>
      <c r="H436" t="s">
        <v>18</v>
      </c>
      <c r="I436" t="s">
        <v>36</v>
      </c>
      <c r="J436">
        <v>2069</v>
      </c>
      <c r="K436">
        <v>24828</v>
      </c>
      <c r="L436">
        <v>3</v>
      </c>
      <c r="M436">
        <v>2</v>
      </c>
      <c r="N436">
        <v>5</v>
      </c>
      <c r="O436">
        <v>6</v>
      </c>
    </row>
    <row r="437" spans="1:15" x14ac:dyDescent="0.3">
      <c r="A437">
        <v>436</v>
      </c>
      <c r="B437" t="s">
        <v>634</v>
      </c>
      <c r="C437" t="s">
        <v>635</v>
      </c>
      <c r="D437" t="s">
        <v>32</v>
      </c>
      <c r="E437" s="1">
        <v>44122</v>
      </c>
      <c r="F437" s="2">
        <f ca="1">DATEDIF(EmpTable[[#This Row],[Start Date]],TODAY(),"Y")</f>
        <v>5</v>
      </c>
      <c r="G437" t="s">
        <v>77</v>
      </c>
      <c r="H437" t="s">
        <v>22</v>
      </c>
      <c r="I437" t="s">
        <v>36</v>
      </c>
      <c r="J437">
        <v>1072</v>
      </c>
      <c r="K437">
        <v>12864</v>
      </c>
      <c r="L437">
        <v>4.5</v>
      </c>
      <c r="M437">
        <v>0</v>
      </c>
      <c r="N437">
        <v>0</v>
      </c>
      <c r="O437">
        <v>6</v>
      </c>
    </row>
    <row r="438" spans="1:15" x14ac:dyDescent="0.3">
      <c r="A438">
        <v>437</v>
      </c>
      <c r="B438" t="s">
        <v>636</v>
      </c>
      <c r="C438" t="s">
        <v>637</v>
      </c>
      <c r="D438" t="s">
        <v>307</v>
      </c>
      <c r="E438" s="1">
        <v>43813</v>
      </c>
      <c r="F438" s="2">
        <f ca="1">DATEDIF(EmpTable[[#This Row],[Start Date]],TODAY(),"Y")</f>
        <v>6</v>
      </c>
      <c r="G438" t="s">
        <v>35</v>
      </c>
      <c r="H438" t="s">
        <v>18</v>
      </c>
      <c r="I438" t="s">
        <v>42</v>
      </c>
      <c r="J438">
        <v>1984</v>
      </c>
      <c r="K438">
        <v>23808</v>
      </c>
      <c r="L438">
        <v>1</v>
      </c>
      <c r="M438">
        <v>1</v>
      </c>
      <c r="N438">
        <v>0</v>
      </c>
      <c r="O438">
        <v>8</v>
      </c>
    </row>
    <row r="439" spans="1:15" x14ac:dyDescent="0.3">
      <c r="A439">
        <v>438</v>
      </c>
      <c r="B439" t="s">
        <v>466</v>
      </c>
      <c r="C439" t="s">
        <v>638</v>
      </c>
      <c r="D439" t="s">
        <v>307</v>
      </c>
      <c r="E439" s="1">
        <v>44064</v>
      </c>
      <c r="F439" s="2">
        <f ca="1">DATEDIF(EmpTable[[#This Row],[Start Date]],TODAY(),"Y")</f>
        <v>6</v>
      </c>
      <c r="G439" t="s">
        <v>41</v>
      </c>
      <c r="H439" t="s">
        <v>18</v>
      </c>
      <c r="I439" t="s">
        <v>36</v>
      </c>
      <c r="J439">
        <v>999</v>
      </c>
      <c r="K439">
        <v>11988</v>
      </c>
      <c r="L439">
        <v>1</v>
      </c>
      <c r="M439">
        <v>5</v>
      </c>
      <c r="N439">
        <v>0</v>
      </c>
      <c r="O439">
        <v>61</v>
      </c>
    </row>
    <row r="440" spans="1:15" x14ac:dyDescent="0.3">
      <c r="A440">
        <v>439</v>
      </c>
      <c r="B440" t="s">
        <v>302</v>
      </c>
      <c r="C440" t="s">
        <v>639</v>
      </c>
      <c r="D440" t="s">
        <v>32</v>
      </c>
      <c r="E440" s="1">
        <v>43966</v>
      </c>
      <c r="F440" s="2">
        <f ca="1">DATEDIF(EmpTable[[#This Row],[Start Date]],TODAY(),"Y")</f>
        <v>6</v>
      </c>
      <c r="G440" t="s">
        <v>17</v>
      </c>
      <c r="H440" t="s">
        <v>48</v>
      </c>
      <c r="I440" t="s">
        <v>19</v>
      </c>
      <c r="J440">
        <v>2915</v>
      </c>
      <c r="K440">
        <v>34980</v>
      </c>
      <c r="L440">
        <v>3</v>
      </c>
      <c r="M440">
        <v>0</v>
      </c>
      <c r="N440">
        <v>0</v>
      </c>
      <c r="O440">
        <v>5</v>
      </c>
    </row>
    <row r="441" spans="1:15" x14ac:dyDescent="0.3">
      <c r="A441">
        <v>440</v>
      </c>
      <c r="B441" t="s">
        <v>66</v>
      </c>
      <c r="C441" t="s">
        <v>640</v>
      </c>
      <c r="D441" t="s">
        <v>32</v>
      </c>
      <c r="E441" s="1">
        <v>43770</v>
      </c>
      <c r="F441" s="2">
        <f ca="1">DATEDIF(EmpTable[[#This Row],[Start Date]],TODAY(),"Y")</f>
        <v>6</v>
      </c>
      <c r="G441" t="s">
        <v>53</v>
      </c>
      <c r="H441" t="s">
        <v>18</v>
      </c>
      <c r="I441" t="s">
        <v>898</v>
      </c>
      <c r="J441">
        <v>3158</v>
      </c>
      <c r="K441">
        <v>37896</v>
      </c>
      <c r="L441">
        <v>4.5</v>
      </c>
      <c r="M441">
        <v>3</v>
      </c>
      <c r="N441">
        <v>0</v>
      </c>
      <c r="O441">
        <v>7</v>
      </c>
    </row>
    <row r="442" spans="1:15" x14ac:dyDescent="0.3">
      <c r="A442">
        <v>441</v>
      </c>
      <c r="B442" t="s">
        <v>37</v>
      </c>
      <c r="C442" t="s">
        <v>340</v>
      </c>
      <c r="D442" t="s">
        <v>307</v>
      </c>
      <c r="E442" s="1">
        <v>42977</v>
      </c>
      <c r="F442" s="2">
        <f ca="1">DATEDIF(EmpTable[[#This Row],[Start Date]],TODAY(),"Y")</f>
        <v>9</v>
      </c>
      <c r="G442" t="s">
        <v>50</v>
      </c>
      <c r="H442" t="s">
        <v>18</v>
      </c>
      <c r="I442" t="s">
        <v>36</v>
      </c>
      <c r="J442">
        <v>711</v>
      </c>
      <c r="K442">
        <v>8532</v>
      </c>
      <c r="L442">
        <v>5</v>
      </c>
      <c r="M442">
        <v>0</v>
      </c>
      <c r="N442">
        <v>0</v>
      </c>
      <c r="O442">
        <v>10</v>
      </c>
    </row>
    <row r="443" spans="1:15" x14ac:dyDescent="0.3">
      <c r="A443">
        <v>442</v>
      </c>
      <c r="B443" t="s">
        <v>641</v>
      </c>
      <c r="C443" t="s">
        <v>642</v>
      </c>
      <c r="D443" t="s">
        <v>32</v>
      </c>
      <c r="E443" s="1">
        <v>43195</v>
      </c>
      <c r="F443" s="2">
        <f ca="1">DATEDIF(EmpTable[[#This Row],[Start Date]],TODAY(),"Y")</f>
        <v>8</v>
      </c>
      <c r="G443" t="s">
        <v>17</v>
      </c>
      <c r="H443" t="s">
        <v>22</v>
      </c>
      <c r="I443" t="s">
        <v>19</v>
      </c>
      <c r="J443">
        <v>899</v>
      </c>
      <c r="K443">
        <v>10788</v>
      </c>
      <c r="L443">
        <v>5</v>
      </c>
      <c r="M443">
        <v>6</v>
      </c>
      <c r="N443">
        <v>0</v>
      </c>
      <c r="O443">
        <v>38</v>
      </c>
    </row>
    <row r="444" spans="1:15" x14ac:dyDescent="0.3">
      <c r="A444">
        <v>443</v>
      </c>
      <c r="B444" t="s">
        <v>263</v>
      </c>
      <c r="C444" t="s">
        <v>643</v>
      </c>
      <c r="D444" t="s">
        <v>32</v>
      </c>
      <c r="E444" s="1">
        <v>43900</v>
      </c>
      <c r="F444" s="2">
        <f ca="1">DATEDIF(EmpTable[[#This Row],[Start Date]],TODAY(),"Y")</f>
        <v>6</v>
      </c>
      <c r="G444" t="s">
        <v>41</v>
      </c>
      <c r="H444" t="s">
        <v>18</v>
      </c>
      <c r="I444" t="s">
        <v>42</v>
      </c>
      <c r="J444">
        <v>2571</v>
      </c>
      <c r="K444">
        <v>30852</v>
      </c>
      <c r="L444">
        <v>3</v>
      </c>
      <c r="M444">
        <v>1</v>
      </c>
      <c r="N444">
        <v>0</v>
      </c>
      <c r="O444">
        <v>6</v>
      </c>
    </row>
    <row r="445" spans="1:15" x14ac:dyDescent="0.3">
      <c r="A445">
        <v>444</v>
      </c>
      <c r="B445" t="s">
        <v>30</v>
      </c>
      <c r="C445" t="s">
        <v>644</v>
      </c>
      <c r="D445" t="s">
        <v>32</v>
      </c>
      <c r="E445" s="1">
        <v>43265</v>
      </c>
      <c r="F445" s="2">
        <f ca="1">DATEDIF(EmpTable[[#This Row],[Start Date]],TODAY(),"Y")</f>
        <v>8</v>
      </c>
      <c r="G445" t="s">
        <v>17</v>
      </c>
      <c r="H445" t="s">
        <v>18</v>
      </c>
      <c r="I445" t="s">
        <v>898</v>
      </c>
      <c r="J445">
        <v>2437</v>
      </c>
      <c r="K445">
        <v>29244</v>
      </c>
      <c r="L445">
        <v>5</v>
      </c>
      <c r="M445">
        <v>0</v>
      </c>
      <c r="N445">
        <v>4</v>
      </c>
      <c r="O445">
        <v>8</v>
      </c>
    </row>
    <row r="446" spans="1:15" x14ac:dyDescent="0.3">
      <c r="A446">
        <v>445</v>
      </c>
      <c r="B446" t="s">
        <v>645</v>
      </c>
      <c r="C446" t="s">
        <v>646</v>
      </c>
      <c r="D446" t="s">
        <v>307</v>
      </c>
      <c r="E446" s="1">
        <v>43542</v>
      </c>
      <c r="F446" s="2">
        <f ca="1">DATEDIF(EmpTable[[#This Row],[Start Date]],TODAY(),"Y")</f>
        <v>7</v>
      </c>
      <c r="G446" t="s">
        <v>28</v>
      </c>
      <c r="H446" t="s">
        <v>18</v>
      </c>
      <c r="I446" t="s">
        <v>898</v>
      </c>
      <c r="J446">
        <v>2453</v>
      </c>
      <c r="K446">
        <v>29436</v>
      </c>
      <c r="L446">
        <v>5</v>
      </c>
      <c r="M446">
        <v>1</v>
      </c>
      <c r="N446">
        <v>0</v>
      </c>
      <c r="O446">
        <v>6</v>
      </c>
    </row>
    <row r="447" spans="1:15" x14ac:dyDescent="0.3">
      <c r="A447">
        <v>446</v>
      </c>
      <c r="B447" t="s">
        <v>647</v>
      </c>
      <c r="C447" t="s">
        <v>142</v>
      </c>
      <c r="D447" t="s">
        <v>307</v>
      </c>
      <c r="E447" s="1">
        <v>43279</v>
      </c>
      <c r="F447" s="2">
        <f ca="1">DATEDIF(EmpTable[[#This Row],[Start Date]],TODAY(),"Y")</f>
        <v>8</v>
      </c>
      <c r="G447" t="s">
        <v>28</v>
      </c>
      <c r="H447" t="s">
        <v>18</v>
      </c>
      <c r="I447" t="s">
        <v>898</v>
      </c>
      <c r="J447">
        <v>1839</v>
      </c>
      <c r="K447">
        <v>22068</v>
      </c>
      <c r="L447">
        <v>5</v>
      </c>
      <c r="M447">
        <v>1</v>
      </c>
      <c r="N447">
        <v>0</v>
      </c>
      <c r="O447">
        <v>9</v>
      </c>
    </row>
    <row r="448" spans="1:15" x14ac:dyDescent="0.3">
      <c r="A448">
        <v>447</v>
      </c>
      <c r="B448" t="s">
        <v>127</v>
      </c>
      <c r="C448" t="s">
        <v>648</v>
      </c>
      <c r="D448" t="s">
        <v>32</v>
      </c>
      <c r="E448" s="1">
        <v>42787</v>
      </c>
      <c r="F448" s="2">
        <f ca="1">DATEDIF(EmpTable[[#This Row],[Start Date]],TODAY(),"Y")</f>
        <v>9</v>
      </c>
      <c r="G448" t="s">
        <v>17</v>
      </c>
      <c r="H448" t="s">
        <v>29</v>
      </c>
      <c r="I448" t="s">
        <v>19</v>
      </c>
      <c r="J448">
        <v>2306</v>
      </c>
      <c r="K448">
        <v>27672</v>
      </c>
      <c r="L448">
        <v>1</v>
      </c>
      <c r="M448">
        <v>6</v>
      </c>
      <c r="N448">
        <v>0</v>
      </c>
      <c r="O448">
        <v>7</v>
      </c>
    </row>
    <row r="449" spans="1:15" x14ac:dyDescent="0.3">
      <c r="A449">
        <v>448</v>
      </c>
      <c r="B449" t="s">
        <v>33</v>
      </c>
      <c r="C449" t="s">
        <v>649</v>
      </c>
      <c r="D449" t="s">
        <v>32</v>
      </c>
      <c r="E449" s="1">
        <v>43269</v>
      </c>
      <c r="F449" s="2">
        <f ca="1">DATEDIF(EmpTable[[#This Row],[Start Date]],TODAY(),"Y")</f>
        <v>8</v>
      </c>
      <c r="G449" t="s">
        <v>35</v>
      </c>
      <c r="H449" t="s">
        <v>48</v>
      </c>
      <c r="I449" t="s">
        <v>42</v>
      </c>
      <c r="J449">
        <v>970</v>
      </c>
      <c r="K449">
        <v>11640</v>
      </c>
      <c r="L449">
        <v>1</v>
      </c>
      <c r="M449">
        <v>0</v>
      </c>
      <c r="N449">
        <v>0</v>
      </c>
      <c r="O449">
        <v>5</v>
      </c>
    </row>
    <row r="450" spans="1:15" x14ac:dyDescent="0.3">
      <c r="A450">
        <v>449</v>
      </c>
      <c r="B450" t="s">
        <v>650</v>
      </c>
      <c r="C450" t="s">
        <v>496</v>
      </c>
      <c r="D450" t="s">
        <v>32</v>
      </c>
      <c r="E450" s="1">
        <v>43224</v>
      </c>
      <c r="F450" s="2">
        <f ca="1">DATEDIF(EmpTable[[#This Row],[Start Date]],TODAY(),"Y")</f>
        <v>8</v>
      </c>
      <c r="G450" t="s">
        <v>77</v>
      </c>
      <c r="H450" t="s">
        <v>18</v>
      </c>
      <c r="I450" t="s">
        <v>36</v>
      </c>
      <c r="J450">
        <v>3140</v>
      </c>
      <c r="K450">
        <v>37680</v>
      </c>
      <c r="L450">
        <v>3</v>
      </c>
      <c r="M450">
        <v>6</v>
      </c>
      <c r="N450">
        <v>1</v>
      </c>
      <c r="O450">
        <v>5</v>
      </c>
    </row>
    <row r="451" spans="1:15" x14ac:dyDescent="0.3">
      <c r="A451">
        <v>450</v>
      </c>
      <c r="B451" t="s">
        <v>651</v>
      </c>
      <c r="C451" t="s">
        <v>652</v>
      </c>
      <c r="D451" t="s">
        <v>307</v>
      </c>
      <c r="E451" s="1">
        <v>42835</v>
      </c>
      <c r="F451" s="2">
        <f ca="1">DATEDIF(EmpTable[[#This Row],[Start Date]],TODAY(),"Y")</f>
        <v>9</v>
      </c>
      <c r="G451" t="s">
        <v>88</v>
      </c>
      <c r="H451" t="s">
        <v>18</v>
      </c>
      <c r="I451" t="s">
        <v>42</v>
      </c>
      <c r="J451">
        <v>1176</v>
      </c>
      <c r="K451">
        <v>14112</v>
      </c>
      <c r="L451">
        <v>5</v>
      </c>
      <c r="M451">
        <v>2</v>
      </c>
      <c r="N451">
        <v>0</v>
      </c>
      <c r="O451">
        <v>6</v>
      </c>
    </row>
    <row r="452" spans="1:15" x14ac:dyDescent="0.3">
      <c r="A452">
        <v>451</v>
      </c>
      <c r="B452" t="s">
        <v>30</v>
      </c>
      <c r="C452" t="s">
        <v>653</v>
      </c>
      <c r="D452" t="s">
        <v>32</v>
      </c>
      <c r="E452" s="1">
        <v>43698</v>
      </c>
      <c r="F452" s="2">
        <f ca="1">DATEDIF(EmpTable[[#This Row],[Start Date]],TODAY(),"Y")</f>
        <v>7</v>
      </c>
      <c r="G452" t="s">
        <v>53</v>
      </c>
      <c r="H452" t="s">
        <v>29</v>
      </c>
      <c r="I452" t="s">
        <v>898</v>
      </c>
      <c r="J452">
        <v>2742</v>
      </c>
      <c r="K452">
        <v>32904</v>
      </c>
      <c r="L452">
        <v>5</v>
      </c>
      <c r="M452">
        <v>0</v>
      </c>
      <c r="N452">
        <v>0</v>
      </c>
      <c r="O452">
        <v>9</v>
      </c>
    </row>
    <row r="453" spans="1:15" x14ac:dyDescent="0.3">
      <c r="A453">
        <v>452</v>
      </c>
      <c r="B453" t="s">
        <v>654</v>
      </c>
      <c r="C453" t="s">
        <v>655</v>
      </c>
      <c r="D453" t="s">
        <v>32</v>
      </c>
      <c r="E453" s="1">
        <v>42996</v>
      </c>
      <c r="F453" s="2">
        <f ca="1">DATEDIF(EmpTable[[#This Row],[Start Date]],TODAY(),"Y")</f>
        <v>8</v>
      </c>
      <c r="G453" t="s">
        <v>17</v>
      </c>
      <c r="H453" t="s">
        <v>18</v>
      </c>
      <c r="I453" t="s">
        <v>19</v>
      </c>
      <c r="J453">
        <v>734</v>
      </c>
      <c r="K453">
        <v>8808</v>
      </c>
      <c r="L453">
        <v>3</v>
      </c>
      <c r="M453">
        <v>0</v>
      </c>
      <c r="N453">
        <v>0</v>
      </c>
      <c r="O453">
        <v>0</v>
      </c>
    </row>
    <row r="454" spans="1:15" x14ac:dyDescent="0.3">
      <c r="A454">
        <v>453</v>
      </c>
      <c r="B454" t="s">
        <v>656</v>
      </c>
      <c r="C454" t="s">
        <v>657</v>
      </c>
      <c r="D454" t="s">
        <v>32</v>
      </c>
      <c r="E454" s="1">
        <v>43133</v>
      </c>
      <c r="F454" s="2">
        <f ca="1">DATEDIF(EmpTable[[#This Row],[Start Date]],TODAY(),"Y")</f>
        <v>8</v>
      </c>
      <c r="G454" t="s">
        <v>28</v>
      </c>
      <c r="H454" t="s">
        <v>48</v>
      </c>
      <c r="I454" t="s">
        <v>42</v>
      </c>
      <c r="J454">
        <v>894</v>
      </c>
      <c r="K454">
        <v>10728</v>
      </c>
      <c r="L454">
        <v>3</v>
      </c>
      <c r="M454">
        <v>6</v>
      </c>
      <c r="N454">
        <v>0</v>
      </c>
      <c r="O454">
        <v>93</v>
      </c>
    </row>
    <row r="455" spans="1:15" x14ac:dyDescent="0.3">
      <c r="A455">
        <v>454</v>
      </c>
      <c r="B455" t="s">
        <v>295</v>
      </c>
      <c r="C455" t="s">
        <v>658</v>
      </c>
      <c r="D455" t="s">
        <v>307</v>
      </c>
      <c r="E455" s="1">
        <v>44144</v>
      </c>
      <c r="F455" s="2">
        <f ca="1">DATEDIF(EmpTable[[#This Row],[Start Date]],TODAY(),"Y")</f>
        <v>5</v>
      </c>
      <c r="G455" t="s">
        <v>41</v>
      </c>
      <c r="H455" t="s">
        <v>22</v>
      </c>
      <c r="I455" t="s">
        <v>898</v>
      </c>
      <c r="J455">
        <v>2640</v>
      </c>
      <c r="K455">
        <v>31680</v>
      </c>
      <c r="L455">
        <v>4.5</v>
      </c>
      <c r="M455">
        <v>1</v>
      </c>
      <c r="N455">
        <v>5</v>
      </c>
      <c r="O455">
        <v>4</v>
      </c>
    </row>
    <row r="456" spans="1:15" x14ac:dyDescent="0.3">
      <c r="A456">
        <v>455</v>
      </c>
      <c r="B456" t="s">
        <v>206</v>
      </c>
      <c r="C456" t="s">
        <v>659</v>
      </c>
      <c r="D456" t="s">
        <v>307</v>
      </c>
      <c r="E456" s="1">
        <v>43497</v>
      </c>
      <c r="F456" s="2">
        <f ca="1">DATEDIF(EmpTable[[#This Row],[Start Date]],TODAY(),"Y")</f>
        <v>7</v>
      </c>
      <c r="G456" t="s">
        <v>28</v>
      </c>
      <c r="H456" t="s">
        <v>18</v>
      </c>
      <c r="I456" t="s">
        <v>36</v>
      </c>
      <c r="J456">
        <v>1059</v>
      </c>
      <c r="K456">
        <v>12708</v>
      </c>
      <c r="L456">
        <v>2</v>
      </c>
      <c r="M456">
        <v>0</v>
      </c>
      <c r="N456">
        <v>0</v>
      </c>
      <c r="O456">
        <v>14</v>
      </c>
    </row>
    <row r="457" spans="1:15" x14ac:dyDescent="0.3">
      <c r="A457">
        <v>456</v>
      </c>
      <c r="B457" t="s">
        <v>497</v>
      </c>
      <c r="C457" t="s">
        <v>660</v>
      </c>
      <c r="D457" t="s">
        <v>307</v>
      </c>
      <c r="E457" s="1">
        <v>43260</v>
      </c>
      <c r="F457" s="2">
        <f ca="1">DATEDIF(EmpTable[[#This Row],[Start Date]],TODAY(),"Y")</f>
        <v>8</v>
      </c>
      <c r="G457" t="s">
        <v>35</v>
      </c>
      <c r="H457" t="s">
        <v>294</v>
      </c>
      <c r="I457" t="s">
        <v>36</v>
      </c>
      <c r="J457">
        <v>3337</v>
      </c>
      <c r="K457">
        <v>40044</v>
      </c>
      <c r="L457">
        <v>3</v>
      </c>
      <c r="M457">
        <v>0</v>
      </c>
      <c r="N457">
        <v>2</v>
      </c>
      <c r="O457">
        <v>6</v>
      </c>
    </row>
    <row r="458" spans="1:15" x14ac:dyDescent="0.3">
      <c r="A458">
        <v>457</v>
      </c>
      <c r="B458" t="s">
        <v>33</v>
      </c>
      <c r="C458" t="s">
        <v>661</v>
      </c>
      <c r="D458" t="s">
        <v>32</v>
      </c>
      <c r="E458" s="1">
        <v>44063</v>
      </c>
      <c r="F458" s="2">
        <f ca="1">DATEDIF(EmpTable[[#This Row],[Start Date]],TODAY(),"Y")</f>
        <v>6</v>
      </c>
      <c r="G458" t="s">
        <v>77</v>
      </c>
      <c r="H458" t="s">
        <v>18</v>
      </c>
      <c r="I458" t="s">
        <v>36</v>
      </c>
      <c r="J458">
        <v>3154</v>
      </c>
      <c r="K458">
        <v>37848</v>
      </c>
      <c r="L458">
        <v>3</v>
      </c>
      <c r="M458">
        <v>0</v>
      </c>
      <c r="N458">
        <v>0</v>
      </c>
      <c r="O458">
        <v>6</v>
      </c>
    </row>
    <row r="459" spans="1:15" x14ac:dyDescent="0.3">
      <c r="A459">
        <v>458</v>
      </c>
      <c r="B459" t="s">
        <v>30</v>
      </c>
      <c r="C459" t="s">
        <v>662</v>
      </c>
      <c r="D459" t="s">
        <v>32</v>
      </c>
      <c r="E459" s="1">
        <v>43508</v>
      </c>
      <c r="F459" s="2">
        <f ca="1">DATEDIF(EmpTable[[#This Row],[Start Date]],TODAY(),"Y")</f>
        <v>7</v>
      </c>
      <c r="G459" t="s">
        <v>53</v>
      </c>
      <c r="H459" t="s">
        <v>18</v>
      </c>
      <c r="I459" t="s">
        <v>42</v>
      </c>
      <c r="J459">
        <v>1618</v>
      </c>
      <c r="K459">
        <v>19416</v>
      </c>
      <c r="L459">
        <v>3</v>
      </c>
      <c r="M459">
        <v>1</v>
      </c>
      <c r="N459">
        <v>0</v>
      </c>
      <c r="O459">
        <v>1</v>
      </c>
    </row>
    <row r="460" spans="1:15" x14ac:dyDescent="0.3">
      <c r="A460">
        <v>459</v>
      </c>
      <c r="B460" t="s">
        <v>33</v>
      </c>
      <c r="C460" t="s">
        <v>663</v>
      </c>
      <c r="D460" t="s">
        <v>32</v>
      </c>
      <c r="E460" s="1">
        <v>42786</v>
      </c>
      <c r="F460" s="2">
        <f ca="1">DATEDIF(EmpTable[[#This Row],[Start Date]],TODAY(),"Y")</f>
        <v>9</v>
      </c>
      <c r="G460" t="s">
        <v>77</v>
      </c>
      <c r="H460" t="s">
        <v>29</v>
      </c>
      <c r="I460" t="s">
        <v>42</v>
      </c>
      <c r="J460">
        <v>1248</v>
      </c>
      <c r="K460">
        <v>14976</v>
      </c>
      <c r="L460">
        <v>5</v>
      </c>
      <c r="M460">
        <v>0</v>
      </c>
      <c r="N460">
        <v>6</v>
      </c>
      <c r="O460">
        <v>7</v>
      </c>
    </row>
    <row r="461" spans="1:15" x14ac:dyDescent="0.3">
      <c r="A461">
        <v>460</v>
      </c>
      <c r="B461" t="s">
        <v>664</v>
      </c>
      <c r="C461" t="s">
        <v>665</v>
      </c>
      <c r="D461" t="s">
        <v>307</v>
      </c>
      <c r="E461" s="1">
        <v>42978</v>
      </c>
      <c r="F461" s="2">
        <f ca="1">DATEDIF(EmpTable[[#This Row],[Start Date]],TODAY(),"Y")</f>
        <v>9</v>
      </c>
      <c r="G461" t="s">
        <v>77</v>
      </c>
      <c r="H461" t="s">
        <v>18</v>
      </c>
      <c r="I461" t="s">
        <v>60</v>
      </c>
      <c r="J461">
        <v>1523</v>
      </c>
      <c r="K461">
        <v>18276</v>
      </c>
      <c r="L461">
        <v>3</v>
      </c>
      <c r="M461">
        <v>6</v>
      </c>
      <c r="N461">
        <v>5</v>
      </c>
      <c r="O461">
        <v>4</v>
      </c>
    </row>
    <row r="462" spans="1:15" x14ac:dyDescent="0.3">
      <c r="A462">
        <v>461</v>
      </c>
      <c r="B462" t="s">
        <v>666</v>
      </c>
      <c r="C462" t="s">
        <v>667</v>
      </c>
      <c r="D462" t="s">
        <v>307</v>
      </c>
      <c r="E462" s="1">
        <v>43475</v>
      </c>
      <c r="F462" s="2">
        <f ca="1">DATEDIF(EmpTable[[#This Row],[Start Date]],TODAY(),"Y")</f>
        <v>7</v>
      </c>
      <c r="G462" t="s">
        <v>28</v>
      </c>
      <c r="H462" t="s">
        <v>18</v>
      </c>
      <c r="I462" t="s">
        <v>36</v>
      </c>
      <c r="J462">
        <v>1275</v>
      </c>
      <c r="K462">
        <v>15300</v>
      </c>
      <c r="L462">
        <v>4.5</v>
      </c>
      <c r="M462">
        <v>3</v>
      </c>
      <c r="N462">
        <v>0</v>
      </c>
      <c r="O462">
        <v>9</v>
      </c>
    </row>
    <row r="463" spans="1:15" x14ac:dyDescent="0.3">
      <c r="A463">
        <v>462</v>
      </c>
      <c r="B463" t="s">
        <v>369</v>
      </c>
      <c r="C463" t="s">
        <v>668</v>
      </c>
      <c r="D463" t="s">
        <v>32</v>
      </c>
      <c r="E463" s="1">
        <v>43472</v>
      </c>
      <c r="F463" s="2">
        <f ca="1">DATEDIF(EmpTable[[#This Row],[Start Date]],TODAY(),"Y")</f>
        <v>7</v>
      </c>
      <c r="G463" t="s">
        <v>41</v>
      </c>
      <c r="H463" t="s">
        <v>48</v>
      </c>
      <c r="I463" t="s">
        <v>36</v>
      </c>
      <c r="J463">
        <v>1549</v>
      </c>
      <c r="K463">
        <v>18588</v>
      </c>
      <c r="L463">
        <v>3</v>
      </c>
      <c r="M463">
        <v>2</v>
      </c>
      <c r="N463">
        <v>0</v>
      </c>
      <c r="O463">
        <v>5</v>
      </c>
    </row>
    <row r="464" spans="1:15" x14ac:dyDescent="0.3">
      <c r="A464">
        <v>463</v>
      </c>
      <c r="B464" t="s">
        <v>373</v>
      </c>
      <c r="C464" t="s">
        <v>669</v>
      </c>
      <c r="D464" t="s">
        <v>32</v>
      </c>
      <c r="E464" s="1">
        <v>43618</v>
      </c>
      <c r="F464" s="2">
        <f ca="1">DATEDIF(EmpTable[[#This Row],[Start Date]],TODAY(),"Y")</f>
        <v>7</v>
      </c>
      <c r="G464" t="s">
        <v>88</v>
      </c>
      <c r="H464" t="s">
        <v>22</v>
      </c>
      <c r="I464" t="s">
        <v>898</v>
      </c>
      <c r="J464">
        <v>1786</v>
      </c>
      <c r="K464">
        <v>21432</v>
      </c>
      <c r="L464">
        <v>3</v>
      </c>
      <c r="M464">
        <v>4</v>
      </c>
      <c r="N464">
        <v>4</v>
      </c>
      <c r="O464">
        <v>1</v>
      </c>
    </row>
    <row r="465" spans="1:15" x14ac:dyDescent="0.3">
      <c r="A465">
        <v>464</v>
      </c>
      <c r="B465" t="s">
        <v>33</v>
      </c>
      <c r="C465" t="s">
        <v>670</v>
      </c>
      <c r="D465" t="s">
        <v>32</v>
      </c>
      <c r="E465" s="1">
        <v>43557</v>
      </c>
      <c r="F465" s="2">
        <f ca="1">DATEDIF(EmpTable[[#This Row],[Start Date]],TODAY(),"Y")</f>
        <v>7</v>
      </c>
      <c r="G465" t="s">
        <v>77</v>
      </c>
      <c r="H465" t="s">
        <v>22</v>
      </c>
      <c r="I465" t="s">
        <v>42</v>
      </c>
      <c r="J465">
        <v>1908</v>
      </c>
      <c r="K465">
        <v>22896</v>
      </c>
      <c r="L465">
        <v>1</v>
      </c>
      <c r="M465">
        <v>0</v>
      </c>
      <c r="N465">
        <v>5</v>
      </c>
      <c r="O465">
        <v>7</v>
      </c>
    </row>
    <row r="466" spans="1:15" x14ac:dyDescent="0.3">
      <c r="A466">
        <v>465</v>
      </c>
      <c r="B466" t="s">
        <v>30</v>
      </c>
      <c r="C466" t="s">
        <v>517</v>
      </c>
      <c r="D466" t="s">
        <v>32</v>
      </c>
      <c r="E466" s="1">
        <v>43249</v>
      </c>
      <c r="F466" s="2">
        <f ca="1">DATEDIF(EmpTable[[#This Row],[Start Date]],TODAY(),"Y")</f>
        <v>8</v>
      </c>
      <c r="G466" t="s">
        <v>53</v>
      </c>
      <c r="H466" t="s">
        <v>29</v>
      </c>
      <c r="I466" t="s">
        <v>36</v>
      </c>
      <c r="J466">
        <v>2321</v>
      </c>
      <c r="K466">
        <v>27852</v>
      </c>
      <c r="L466">
        <v>5</v>
      </c>
      <c r="M466">
        <v>0</v>
      </c>
      <c r="N466">
        <v>0</v>
      </c>
      <c r="O466">
        <v>6</v>
      </c>
    </row>
    <row r="467" spans="1:15" x14ac:dyDescent="0.3">
      <c r="A467">
        <v>466</v>
      </c>
      <c r="B467" t="s">
        <v>671</v>
      </c>
      <c r="C467" t="s">
        <v>672</v>
      </c>
      <c r="D467" t="s">
        <v>32</v>
      </c>
      <c r="E467" s="1">
        <v>44109</v>
      </c>
      <c r="F467" s="2">
        <f ca="1">DATEDIF(EmpTable[[#This Row],[Start Date]],TODAY(),"Y")</f>
        <v>5</v>
      </c>
      <c r="G467" t="s">
        <v>53</v>
      </c>
      <c r="H467" t="s">
        <v>29</v>
      </c>
      <c r="I467" t="s">
        <v>42</v>
      </c>
      <c r="J467">
        <v>899</v>
      </c>
      <c r="K467">
        <v>10788</v>
      </c>
      <c r="L467">
        <v>1</v>
      </c>
      <c r="M467">
        <v>4</v>
      </c>
      <c r="N467">
        <v>0</v>
      </c>
      <c r="O467">
        <v>27</v>
      </c>
    </row>
    <row r="468" spans="1:15" x14ac:dyDescent="0.3">
      <c r="A468">
        <v>467</v>
      </c>
      <c r="B468" t="s">
        <v>33</v>
      </c>
      <c r="C468" t="s">
        <v>673</v>
      </c>
      <c r="D468" t="s">
        <v>32</v>
      </c>
      <c r="E468" s="1">
        <v>43822</v>
      </c>
      <c r="F468" s="2">
        <f ca="1">DATEDIF(EmpTable[[#This Row],[Start Date]],TODAY(),"Y")</f>
        <v>6</v>
      </c>
      <c r="G468" t="s">
        <v>88</v>
      </c>
      <c r="H468" t="s">
        <v>18</v>
      </c>
      <c r="I468" t="s">
        <v>36</v>
      </c>
      <c r="J468">
        <v>1168</v>
      </c>
      <c r="K468">
        <v>14016</v>
      </c>
      <c r="L468">
        <v>5</v>
      </c>
      <c r="M468">
        <v>0</v>
      </c>
      <c r="N468">
        <v>0</v>
      </c>
      <c r="O468">
        <v>8</v>
      </c>
    </row>
    <row r="469" spans="1:15" x14ac:dyDescent="0.3">
      <c r="A469">
        <v>468</v>
      </c>
      <c r="B469" t="s">
        <v>674</v>
      </c>
      <c r="C469" t="s">
        <v>675</v>
      </c>
      <c r="D469" t="s">
        <v>32</v>
      </c>
      <c r="E469" s="1">
        <v>43194</v>
      </c>
      <c r="F469" s="2">
        <f ca="1">DATEDIF(EmpTable[[#This Row],[Start Date]],TODAY(),"Y")</f>
        <v>8</v>
      </c>
      <c r="G469" t="s">
        <v>93</v>
      </c>
      <c r="H469" t="s">
        <v>18</v>
      </c>
      <c r="I469" t="s">
        <v>42</v>
      </c>
      <c r="J469">
        <v>2169</v>
      </c>
      <c r="K469">
        <v>26028</v>
      </c>
      <c r="L469">
        <v>1</v>
      </c>
      <c r="M469">
        <v>4</v>
      </c>
      <c r="N469">
        <v>0</v>
      </c>
      <c r="O469">
        <v>2</v>
      </c>
    </row>
    <row r="470" spans="1:15" x14ac:dyDescent="0.3">
      <c r="A470">
        <v>469</v>
      </c>
      <c r="B470" t="s">
        <v>33</v>
      </c>
      <c r="C470" t="s">
        <v>388</v>
      </c>
      <c r="D470" t="s">
        <v>32</v>
      </c>
      <c r="E470" s="1">
        <v>43900</v>
      </c>
      <c r="F470" s="2">
        <f ca="1">DATEDIF(EmpTable[[#This Row],[Start Date]],TODAY(),"Y")</f>
        <v>6</v>
      </c>
      <c r="G470" t="s">
        <v>200</v>
      </c>
      <c r="H470" t="s">
        <v>294</v>
      </c>
      <c r="I470" t="s">
        <v>42</v>
      </c>
      <c r="J470">
        <v>2819</v>
      </c>
      <c r="K470">
        <v>33828</v>
      </c>
      <c r="L470">
        <v>4.5</v>
      </c>
      <c r="M470">
        <v>5</v>
      </c>
      <c r="N470">
        <v>0</v>
      </c>
      <c r="O470">
        <v>51</v>
      </c>
    </row>
    <row r="471" spans="1:15" x14ac:dyDescent="0.3">
      <c r="A471">
        <v>470</v>
      </c>
      <c r="B471" t="s">
        <v>30</v>
      </c>
      <c r="C471" t="s">
        <v>676</v>
      </c>
      <c r="D471" t="s">
        <v>32</v>
      </c>
      <c r="E471" s="1">
        <v>43403</v>
      </c>
      <c r="F471" s="2">
        <f ca="1">DATEDIF(EmpTable[[#This Row],[Start Date]],TODAY(),"Y")</f>
        <v>7</v>
      </c>
      <c r="G471" t="s">
        <v>50</v>
      </c>
      <c r="H471" t="s">
        <v>29</v>
      </c>
      <c r="I471" t="s">
        <v>36</v>
      </c>
      <c r="J471">
        <v>847</v>
      </c>
      <c r="K471">
        <v>10164</v>
      </c>
      <c r="L471">
        <v>3</v>
      </c>
      <c r="M471">
        <v>0</v>
      </c>
      <c r="N471">
        <v>0</v>
      </c>
      <c r="O471">
        <v>3</v>
      </c>
    </row>
    <row r="472" spans="1:15" x14ac:dyDescent="0.3">
      <c r="A472">
        <v>471</v>
      </c>
      <c r="B472" t="s">
        <v>33</v>
      </c>
      <c r="C472" t="s">
        <v>546</v>
      </c>
      <c r="D472" t="s">
        <v>32</v>
      </c>
      <c r="E472" s="1">
        <v>43900</v>
      </c>
      <c r="F472" s="2">
        <f ca="1">DATEDIF(EmpTable[[#This Row],[Start Date]],TODAY(),"Y")</f>
        <v>6</v>
      </c>
      <c r="G472" t="s">
        <v>41</v>
      </c>
      <c r="H472" t="s">
        <v>18</v>
      </c>
      <c r="I472" t="s">
        <v>19</v>
      </c>
      <c r="J472">
        <v>2308</v>
      </c>
      <c r="K472">
        <v>27696</v>
      </c>
      <c r="L472">
        <v>2</v>
      </c>
      <c r="M472">
        <v>0</v>
      </c>
      <c r="N472">
        <v>0</v>
      </c>
      <c r="O472">
        <v>13</v>
      </c>
    </row>
    <row r="473" spans="1:15" x14ac:dyDescent="0.3">
      <c r="A473">
        <v>472</v>
      </c>
      <c r="B473" t="s">
        <v>84</v>
      </c>
      <c r="C473" t="s">
        <v>677</v>
      </c>
      <c r="D473" t="s">
        <v>307</v>
      </c>
      <c r="E473" s="1">
        <v>43435</v>
      </c>
      <c r="F473" s="2">
        <f ca="1">DATEDIF(EmpTable[[#This Row],[Start Date]],TODAY(),"Y")</f>
        <v>7</v>
      </c>
      <c r="G473" t="s">
        <v>28</v>
      </c>
      <c r="H473" t="s">
        <v>18</v>
      </c>
      <c r="I473" t="s">
        <v>898</v>
      </c>
      <c r="J473">
        <v>1692</v>
      </c>
      <c r="K473">
        <v>20304</v>
      </c>
      <c r="L473">
        <v>4.5</v>
      </c>
      <c r="M473">
        <v>4</v>
      </c>
      <c r="N473">
        <v>0</v>
      </c>
      <c r="O473">
        <v>6</v>
      </c>
    </row>
    <row r="474" spans="1:15" x14ac:dyDescent="0.3">
      <c r="A474">
        <v>473</v>
      </c>
      <c r="B474" t="s">
        <v>678</v>
      </c>
      <c r="C474" t="s">
        <v>159</v>
      </c>
      <c r="D474" t="s">
        <v>32</v>
      </c>
      <c r="E474" s="1">
        <v>43159</v>
      </c>
      <c r="F474" s="2">
        <f ca="1">DATEDIF(EmpTable[[#This Row],[Start Date]],TODAY(),"Y")</f>
        <v>8</v>
      </c>
      <c r="G474" t="s">
        <v>77</v>
      </c>
      <c r="H474" t="s">
        <v>18</v>
      </c>
      <c r="I474" t="s">
        <v>42</v>
      </c>
      <c r="J474">
        <v>1372</v>
      </c>
      <c r="K474">
        <v>16464</v>
      </c>
      <c r="L474">
        <v>1</v>
      </c>
      <c r="M474">
        <v>0</v>
      </c>
      <c r="N474">
        <v>0</v>
      </c>
      <c r="O474">
        <v>4</v>
      </c>
    </row>
    <row r="475" spans="1:15" x14ac:dyDescent="0.3">
      <c r="A475">
        <v>474</v>
      </c>
      <c r="B475" t="s">
        <v>413</v>
      </c>
      <c r="C475" t="s">
        <v>679</v>
      </c>
      <c r="D475" t="s">
        <v>307</v>
      </c>
      <c r="E475" s="1">
        <v>43617</v>
      </c>
      <c r="F475" s="2">
        <f ca="1">DATEDIF(EmpTable[[#This Row],[Start Date]],TODAY(),"Y")</f>
        <v>7</v>
      </c>
      <c r="G475" t="s">
        <v>41</v>
      </c>
      <c r="H475" t="s">
        <v>18</v>
      </c>
      <c r="I475" t="s">
        <v>898</v>
      </c>
      <c r="J475">
        <v>2594</v>
      </c>
      <c r="K475">
        <v>31128</v>
      </c>
      <c r="L475">
        <v>3</v>
      </c>
      <c r="M475">
        <v>5</v>
      </c>
      <c r="N475">
        <v>0</v>
      </c>
      <c r="O475">
        <v>0</v>
      </c>
    </row>
    <row r="476" spans="1:15" x14ac:dyDescent="0.3">
      <c r="A476">
        <v>475</v>
      </c>
      <c r="B476" t="s">
        <v>460</v>
      </c>
      <c r="C476" t="s">
        <v>680</v>
      </c>
      <c r="D476" t="s">
        <v>32</v>
      </c>
      <c r="E476" s="1">
        <v>43237</v>
      </c>
      <c r="F476" s="2">
        <f ca="1">DATEDIF(EmpTable[[#This Row],[Start Date]],TODAY(),"Y")</f>
        <v>8</v>
      </c>
      <c r="G476" t="s">
        <v>17</v>
      </c>
      <c r="H476" t="s">
        <v>18</v>
      </c>
      <c r="I476" t="s">
        <v>36</v>
      </c>
      <c r="J476">
        <v>1082</v>
      </c>
      <c r="K476">
        <v>12984</v>
      </c>
      <c r="L476">
        <v>5</v>
      </c>
      <c r="M476">
        <v>1</v>
      </c>
      <c r="N476">
        <v>4</v>
      </c>
      <c r="O476">
        <v>8</v>
      </c>
    </row>
    <row r="477" spans="1:15" x14ac:dyDescent="0.3">
      <c r="A477">
        <v>476</v>
      </c>
      <c r="B477" t="s">
        <v>33</v>
      </c>
      <c r="C477" t="s">
        <v>308</v>
      </c>
      <c r="D477" t="s">
        <v>32</v>
      </c>
      <c r="E477" s="1">
        <v>43413</v>
      </c>
      <c r="F477" s="2">
        <f ca="1">DATEDIF(EmpTable[[#This Row],[Start Date]],TODAY(),"Y")</f>
        <v>7</v>
      </c>
      <c r="G477" t="s">
        <v>28</v>
      </c>
      <c r="H477" t="s">
        <v>18</v>
      </c>
      <c r="I477" t="s">
        <v>19</v>
      </c>
      <c r="J477">
        <v>1929</v>
      </c>
      <c r="K477">
        <v>23148</v>
      </c>
      <c r="L477">
        <v>5</v>
      </c>
      <c r="M477">
        <v>3</v>
      </c>
      <c r="N477">
        <v>0</v>
      </c>
      <c r="O477">
        <v>43</v>
      </c>
    </row>
    <row r="478" spans="1:15" x14ac:dyDescent="0.3">
      <c r="A478">
        <v>477</v>
      </c>
      <c r="B478" t="s">
        <v>681</v>
      </c>
      <c r="C478" t="s">
        <v>80</v>
      </c>
      <c r="D478" t="s">
        <v>32</v>
      </c>
      <c r="E478" s="1">
        <v>43720</v>
      </c>
      <c r="F478" s="2">
        <f ca="1">DATEDIF(EmpTable[[#This Row],[Start Date]],TODAY(),"Y")</f>
        <v>6</v>
      </c>
      <c r="G478" t="s">
        <v>28</v>
      </c>
      <c r="H478" t="s">
        <v>22</v>
      </c>
      <c r="I478" t="s">
        <v>42</v>
      </c>
      <c r="J478">
        <v>1883</v>
      </c>
      <c r="K478">
        <v>22596</v>
      </c>
      <c r="L478">
        <v>3</v>
      </c>
      <c r="M478">
        <v>3</v>
      </c>
      <c r="N478">
        <v>0</v>
      </c>
      <c r="O478">
        <v>3</v>
      </c>
    </row>
    <row r="479" spans="1:15" x14ac:dyDescent="0.3">
      <c r="A479">
        <v>478</v>
      </c>
      <c r="B479" t="s">
        <v>388</v>
      </c>
      <c r="C479" t="s">
        <v>512</v>
      </c>
      <c r="D479" t="s">
        <v>32</v>
      </c>
      <c r="E479" s="1">
        <v>43594</v>
      </c>
      <c r="F479" s="2">
        <f ca="1">DATEDIF(EmpTable[[#This Row],[Start Date]],TODAY(),"Y")</f>
        <v>7</v>
      </c>
      <c r="G479" t="s">
        <v>41</v>
      </c>
      <c r="H479" t="s">
        <v>29</v>
      </c>
      <c r="I479" t="s">
        <v>19</v>
      </c>
      <c r="J479">
        <v>874</v>
      </c>
      <c r="K479">
        <v>10488</v>
      </c>
      <c r="L479">
        <v>3</v>
      </c>
      <c r="M479">
        <v>0</v>
      </c>
      <c r="N479">
        <v>0</v>
      </c>
      <c r="O479">
        <v>7</v>
      </c>
    </row>
    <row r="480" spans="1:15" x14ac:dyDescent="0.3">
      <c r="A480">
        <v>479</v>
      </c>
      <c r="B480" t="s">
        <v>165</v>
      </c>
      <c r="C480" t="s">
        <v>682</v>
      </c>
      <c r="D480" t="s">
        <v>32</v>
      </c>
      <c r="E480" s="1">
        <v>42603</v>
      </c>
      <c r="F480" s="2">
        <f ca="1">DATEDIF(EmpTable[[#This Row],[Start Date]],TODAY(),"Y")</f>
        <v>10</v>
      </c>
      <c r="G480" t="s">
        <v>17</v>
      </c>
      <c r="H480" t="s">
        <v>22</v>
      </c>
      <c r="I480" t="s">
        <v>19</v>
      </c>
      <c r="J480">
        <v>2780</v>
      </c>
      <c r="K480">
        <v>33360</v>
      </c>
      <c r="L480">
        <v>3</v>
      </c>
      <c r="M480">
        <v>3</v>
      </c>
      <c r="N480">
        <v>0</v>
      </c>
      <c r="O480">
        <v>2</v>
      </c>
    </row>
    <row r="481" spans="1:15" x14ac:dyDescent="0.3">
      <c r="A481">
        <v>480</v>
      </c>
      <c r="B481" t="s">
        <v>207</v>
      </c>
      <c r="C481" t="s">
        <v>130</v>
      </c>
      <c r="D481" t="s">
        <v>32</v>
      </c>
      <c r="E481" s="1">
        <v>43832</v>
      </c>
      <c r="F481" s="2">
        <f ca="1">DATEDIF(EmpTable[[#This Row],[Start Date]],TODAY(),"Y")</f>
        <v>6</v>
      </c>
      <c r="G481" t="s">
        <v>50</v>
      </c>
      <c r="H481" t="s">
        <v>48</v>
      </c>
      <c r="I481" t="s">
        <v>60</v>
      </c>
      <c r="J481">
        <v>1980</v>
      </c>
      <c r="K481">
        <v>23760</v>
      </c>
      <c r="L481">
        <v>2</v>
      </c>
      <c r="M481">
        <v>3</v>
      </c>
      <c r="N481">
        <v>0</v>
      </c>
      <c r="O481">
        <v>0</v>
      </c>
    </row>
    <row r="482" spans="1:15" x14ac:dyDescent="0.3">
      <c r="A482">
        <v>481</v>
      </c>
      <c r="B482" t="s">
        <v>71</v>
      </c>
      <c r="C482" t="s">
        <v>683</v>
      </c>
      <c r="D482" t="s">
        <v>32</v>
      </c>
      <c r="E482" s="1">
        <v>43832</v>
      </c>
      <c r="F482" s="2">
        <f ca="1">DATEDIF(EmpTable[[#This Row],[Start Date]],TODAY(),"Y")</f>
        <v>6</v>
      </c>
      <c r="G482" t="s">
        <v>25</v>
      </c>
      <c r="H482" t="s">
        <v>48</v>
      </c>
      <c r="I482" t="s">
        <v>42</v>
      </c>
      <c r="J482">
        <v>2611</v>
      </c>
      <c r="K482">
        <v>31332</v>
      </c>
      <c r="L482">
        <v>5</v>
      </c>
      <c r="M482">
        <v>4</v>
      </c>
      <c r="N482">
        <v>0</v>
      </c>
      <c r="O482">
        <v>9</v>
      </c>
    </row>
    <row r="483" spans="1:15" x14ac:dyDescent="0.3">
      <c r="A483">
        <v>482</v>
      </c>
      <c r="B483" t="s">
        <v>684</v>
      </c>
      <c r="C483" t="s">
        <v>685</v>
      </c>
      <c r="D483" t="s">
        <v>32</v>
      </c>
      <c r="E483" s="1">
        <v>43141</v>
      </c>
      <c r="F483" s="2">
        <f ca="1">DATEDIF(EmpTable[[#This Row],[Start Date]],TODAY(),"Y")</f>
        <v>8</v>
      </c>
      <c r="G483" t="s">
        <v>200</v>
      </c>
      <c r="H483" t="s">
        <v>48</v>
      </c>
      <c r="I483" t="s">
        <v>898</v>
      </c>
      <c r="J483">
        <v>1881</v>
      </c>
      <c r="K483">
        <v>22572</v>
      </c>
      <c r="L483">
        <v>5</v>
      </c>
      <c r="M483">
        <v>1</v>
      </c>
      <c r="N483">
        <v>0</v>
      </c>
      <c r="O483">
        <v>1</v>
      </c>
    </row>
    <row r="484" spans="1:15" x14ac:dyDescent="0.3">
      <c r="A484">
        <v>483</v>
      </c>
      <c r="B484" t="s">
        <v>686</v>
      </c>
      <c r="C484" t="s">
        <v>687</v>
      </c>
      <c r="D484" t="s">
        <v>32</v>
      </c>
      <c r="E484" s="1">
        <v>42530</v>
      </c>
      <c r="F484" s="2">
        <f ca="1">DATEDIF(EmpTable[[#This Row],[Start Date]],TODAY(),"Y")</f>
        <v>10</v>
      </c>
      <c r="G484" t="s">
        <v>28</v>
      </c>
      <c r="H484" t="s">
        <v>18</v>
      </c>
      <c r="I484" t="s">
        <v>19</v>
      </c>
      <c r="J484">
        <v>1517</v>
      </c>
      <c r="K484">
        <v>18204</v>
      </c>
      <c r="L484">
        <v>5</v>
      </c>
      <c r="M484">
        <v>4</v>
      </c>
      <c r="N484">
        <v>0</v>
      </c>
      <c r="O484">
        <v>6</v>
      </c>
    </row>
    <row r="485" spans="1:15" x14ac:dyDescent="0.3">
      <c r="A485">
        <v>484</v>
      </c>
      <c r="B485" t="s">
        <v>186</v>
      </c>
      <c r="C485" t="s">
        <v>33</v>
      </c>
      <c r="D485" t="s">
        <v>32</v>
      </c>
      <c r="E485" s="1">
        <v>43825</v>
      </c>
      <c r="F485" s="2">
        <f ca="1">DATEDIF(EmpTable[[#This Row],[Start Date]],TODAY(),"Y")</f>
        <v>6</v>
      </c>
      <c r="G485" t="s">
        <v>35</v>
      </c>
      <c r="H485" t="s">
        <v>18</v>
      </c>
      <c r="I485" t="s">
        <v>19</v>
      </c>
      <c r="J485">
        <v>1459</v>
      </c>
      <c r="K485">
        <v>17508</v>
      </c>
      <c r="L485">
        <v>4.5</v>
      </c>
      <c r="M485">
        <v>0</v>
      </c>
      <c r="N485">
        <v>0</v>
      </c>
      <c r="O485">
        <v>10</v>
      </c>
    </row>
    <row r="486" spans="1:15" x14ac:dyDescent="0.3">
      <c r="A486">
        <v>485</v>
      </c>
      <c r="B486" t="s">
        <v>219</v>
      </c>
      <c r="C486" t="s">
        <v>688</v>
      </c>
      <c r="D486" t="s">
        <v>32</v>
      </c>
      <c r="E486" s="1">
        <v>43761</v>
      </c>
      <c r="F486" s="2">
        <f ca="1">DATEDIF(EmpTable[[#This Row],[Start Date]],TODAY(),"Y")</f>
        <v>6</v>
      </c>
      <c r="G486" t="s">
        <v>88</v>
      </c>
      <c r="H486" t="s">
        <v>22</v>
      </c>
      <c r="I486" t="s">
        <v>42</v>
      </c>
      <c r="J486">
        <v>2383</v>
      </c>
      <c r="K486">
        <v>28596</v>
      </c>
      <c r="L486">
        <v>3</v>
      </c>
      <c r="M486">
        <v>0</v>
      </c>
      <c r="N486">
        <v>0</v>
      </c>
      <c r="O486">
        <v>0</v>
      </c>
    </row>
    <row r="487" spans="1:15" x14ac:dyDescent="0.3">
      <c r="A487">
        <v>486</v>
      </c>
      <c r="B487" t="s">
        <v>49</v>
      </c>
      <c r="C487" t="s">
        <v>461</v>
      </c>
      <c r="D487" t="s">
        <v>32</v>
      </c>
      <c r="E487" s="1">
        <v>43168</v>
      </c>
      <c r="F487" s="2">
        <f ca="1">DATEDIF(EmpTable[[#This Row],[Start Date]],TODAY(),"Y")</f>
        <v>8</v>
      </c>
      <c r="G487" t="s">
        <v>77</v>
      </c>
      <c r="H487" t="s">
        <v>18</v>
      </c>
      <c r="I487" t="s">
        <v>60</v>
      </c>
      <c r="J487">
        <v>1420</v>
      </c>
      <c r="K487">
        <v>17040</v>
      </c>
      <c r="L487">
        <v>5</v>
      </c>
      <c r="M487">
        <v>2</v>
      </c>
      <c r="N487">
        <v>6</v>
      </c>
      <c r="O487">
        <v>7</v>
      </c>
    </row>
    <row r="488" spans="1:15" x14ac:dyDescent="0.3">
      <c r="A488">
        <v>487</v>
      </c>
      <c r="B488" t="s">
        <v>357</v>
      </c>
      <c r="C488" t="s">
        <v>689</v>
      </c>
      <c r="D488" t="s">
        <v>32</v>
      </c>
      <c r="E488" s="1">
        <v>43358</v>
      </c>
      <c r="F488" s="2">
        <f ca="1">DATEDIF(EmpTable[[#This Row],[Start Date]],TODAY(),"Y")</f>
        <v>7</v>
      </c>
      <c r="G488" t="s">
        <v>25</v>
      </c>
      <c r="H488" t="s">
        <v>18</v>
      </c>
      <c r="I488" t="s">
        <v>36</v>
      </c>
      <c r="J488">
        <v>1382</v>
      </c>
      <c r="K488">
        <v>16584</v>
      </c>
      <c r="L488">
        <v>4.5</v>
      </c>
      <c r="M488">
        <v>0</v>
      </c>
      <c r="N488">
        <v>1</v>
      </c>
      <c r="O488">
        <v>14</v>
      </c>
    </row>
    <row r="489" spans="1:15" x14ac:dyDescent="0.3">
      <c r="A489">
        <v>488</v>
      </c>
      <c r="B489" t="s">
        <v>30</v>
      </c>
      <c r="C489" t="s">
        <v>690</v>
      </c>
      <c r="D489" t="s">
        <v>32</v>
      </c>
      <c r="E489" s="1">
        <v>44097</v>
      </c>
      <c r="F489" s="2">
        <f ca="1">DATEDIF(EmpTable[[#This Row],[Start Date]],TODAY(),"Y")</f>
        <v>5</v>
      </c>
      <c r="G489" t="s">
        <v>50</v>
      </c>
      <c r="H489" t="s">
        <v>29</v>
      </c>
      <c r="I489" t="s">
        <v>19</v>
      </c>
      <c r="J489">
        <v>1920</v>
      </c>
      <c r="K489">
        <v>23040</v>
      </c>
      <c r="L489">
        <v>5</v>
      </c>
      <c r="M489">
        <v>0</v>
      </c>
      <c r="N489">
        <v>5</v>
      </c>
      <c r="O489">
        <v>1</v>
      </c>
    </row>
    <row r="490" spans="1:15" x14ac:dyDescent="0.3">
      <c r="A490">
        <v>489</v>
      </c>
      <c r="B490" t="s">
        <v>30</v>
      </c>
      <c r="C490" t="s">
        <v>691</v>
      </c>
      <c r="D490" t="s">
        <v>32</v>
      </c>
      <c r="E490" s="1">
        <v>44091</v>
      </c>
      <c r="F490" s="2">
        <f ca="1">DATEDIF(EmpTable[[#This Row],[Start Date]],TODAY(),"Y")</f>
        <v>5</v>
      </c>
      <c r="G490" t="s">
        <v>77</v>
      </c>
      <c r="H490" t="s">
        <v>18</v>
      </c>
      <c r="I490" t="s">
        <v>36</v>
      </c>
      <c r="J490">
        <v>1202</v>
      </c>
      <c r="K490">
        <v>14424</v>
      </c>
      <c r="L490">
        <v>4.5</v>
      </c>
      <c r="M490">
        <v>0</v>
      </c>
      <c r="N490">
        <v>0</v>
      </c>
      <c r="O490">
        <v>92</v>
      </c>
    </row>
    <row r="491" spans="1:15" x14ac:dyDescent="0.3">
      <c r="A491">
        <v>490</v>
      </c>
      <c r="B491" t="s">
        <v>692</v>
      </c>
      <c r="C491" t="s">
        <v>693</v>
      </c>
      <c r="D491" t="s">
        <v>307</v>
      </c>
      <c r="E491" s="1">
        <v>43156</v>
      </c>
      <c r="F491" s="2">
        <f ca="1">DATEDIF(EmpTable[[#This Row],[Start Date]],TODAY(),"Y")</f>
        <v>8</v>
      </c>
      <c r="G491" t="s">
        <v>58</v>
      </c>
      <c r="H491" t="s">
        <v>22</v>
      </c>
      <c r="I491" t="s">
        <v>19</v>
      </c>
      <c r="J491">
        <v>1158</v>
      </c>
      <c r="K491">
        <v>13896</v>
      </c>
      <c r="L491">
        <v>5</v>
      </c>
      <c r="M491">
        <v>0</v>
      </c>
      <c r="N491">
        <v>0</v>
      </c>
      <c r="O491">
        <v>7</v>
      </c>
    </row>
    <row r="492" spans="1:15" x14ac:dyDescent="0.3">
      <c r="A492">
        <v>491</v>
      </c>
      <c r="B492" t="s">
        <v>327</v>
      </c>
      <c r="C492" t="s">
        <v>694</v>
      </c>
      <c r="D492" t="s">
        <v>32</v>
      </c>
      <c r="E492" s="1">
        <v>43850</v>
      </c>
      <c r="F492" s="2">
        <f ca="1">DATEDIF(EmpTable[[#This Row],[Start Date]],TODAY(),"Y")</f>
        <v>6</v>
      </c>
      <c r="G492" t="s">
        <v>17</v>
      </c>
      <c r="H492" t="s">
        <v>18</v>
      </c>
      <c r="I492" t="s">
        <v>36</v>
      </c>
      <c r="J492">
        <v>1447</v>
      </c>
      <c r="K492">
        <v>17364</v>
      </c>
      <c r="L492">
        <v>3</v>
      </c>
      <c r="M492">
        <v>0</v>
      </c>
      <c r="N492">
        <v>0</v>
      </c>
      <c r="O492">
        <v>7</v>
      </c>
    </row>
    <row r="493" spans="1:15" x14ac:dyDescent="0.3">
      <c r="A493">
        <v>492</v>
      </c>
      <c r="B493" t="s">
        <v>223</v>
      </c>
      <c r="C493" t="s">
        <v>695</v>
      </c>
      <c r="D493" t="s">
        <v>32</v>
      </c>
      <c r="E493" s="1">
        <v>43731</v>
      </c>
      <c r="F493" s="2">
        <f ca="1">DATEDIF(EmpTable[[#This Row],[Start Date]],TODAY(),"Y")</f>
        <v>6</v>
      </c>
      <c r="G493" t="s">
        <v>39</v>
      </c>
      <c r="H493" t="s">
        <v>22</v>
      </c>
      <c r="I493" t="s">
        <v>898</v>
      </c>
      <c r="J493">
        <v>1598</v>
      </c>
      <c r="K493">
        <v>19176</v>
      </c>
      <c r="L493">
        <v>3</v>
      </c>
      <c r="M493">
        <v>0</v>
      </c>
      <c r="N493">
        <v>0</v>
      </c>
      <c r="O493">
        <v>95</v>
      </c>
    </row>
    <row r="494" spans="1:15" x14ac:dyDescent="0.3">
      <c r="A494">
        <v>493</v>
      </c>
      <c r="B494" t="s">
        <v>696</v>
      </c>
      <c r="C494" t="s">
        <v>697</v>
      </c>
      <c r="D494" t="s">
        <v>32</v>
      </c>
      <c r="E494" s="1">
        <v>43974</v>
      </c>
      <c r="F494" s="2">
        <f ca="1">DATEDIF(EmpTable[[#This Row],[Start Date]],TODAY(),"Y")</f>
        <v>6</v>
      </c>
      <c r="G494" t="s">
        <v>77</v>
      </c>
      <c r="H494" t="s">
        <v>29</v>
      </c>
      <c r="I494" t="s">
        <v>898</v>
      </c>
      <c r="J494">
        <v>1714</v>
      </c>
      <c r="K494">
        <v>20568</v>
      </c>
      <c r="L494">
        <v>5</v>
      </c>
      <c r="M494">
        <v>6</v>
      </c>
      <c r="N494">
        <v>0</v>
      </c>
      <c r="O494">
        <v>11</v>
      </c>
    </row>
    <row r="495" spans="1:15" x14ac:dyDescent="0.3">
      <c r="A495">
        <v>494</v>
      </c>
      <c r="B495" t="s">
        <v>302</v>
      </c>
      <c r="C495" t="s">
        <v>698</v>
      </c>
      <c r="D495" t="s">
        <v>32</v>
      </c>
      <c r="E495" s="1">
        <v>43038</v>
      </c>
      <c r="F495" s="2">
        <f ca="1">DATEDIF(EmpTable[[#This Row],[Start Date]],TODAY(),"Y")</f>
        <v>8</v>
      </c>
      <c r="G495" t="s">
        <v>93</v>
      </c>
      <c r="H495" t="s">
        <v>29</v>
      </c>
      <c r="I495" t="s">
        <v>19</v>
      </c>
      <c r="J495">
        <v>2994</v>
      </c>
      <c r="K495">
        <v>35928</v>
      </c>
      <c r="L495">
        <v>4.5</v>
      </c>
      <c r="M495">
        <v>1</v>
      </c>
      <c r="N495">
        <v>0</v>
      </c>
      <c r="O495">
        <v>4</v>
      </c>
    </row>
    <row r="496" spans="1:15" x14ac:dyDescent="0.3">
      <c r="A496">
        <v>495</v>
      </c>
      <c r="B496" t="s">
        <v>699</v>
      </c>
      <c r="C496" t="s">
        <v>700</v>
      </c>
      <c r="D496" t="s">
        <v>32</v>
      </c>
      <c r="E496" s="1">
        <v>43838</v>
      </c>
      <c r="F496" s="2">
        <f ca="1">DATEDIF(EmpTable[[#This Row],[Start Date]],TODAY(),"Y")</f>
        <v>6</v>
      </c>
      <c r="G496" t="s">
        <v>28</v>
      </c>
      <c r="H496" t="s">
        <v>22</v>
      </c>
      <c r="I496" t="s">
        <v>898</v>
      </c>
      <c r="J496">
        <v>2125</v>
      </c>
      <c r="K496">
        <v>25500</v>
      </c>
      <c r="L496">
        <v>4.5</v>
      </c>
      <c r="M496">
        <v>6</v>
      </c>
      <c r="N496">
        <v>0</v>
      </c>
      <c r="O496">
        <v>6</v>
      </c>
    </row>
    <row r="497" spans="1:15" x14ac:dyDescent="0.3">
      <c r="A497">
        <v>496</v>
      </c>
      <c r="B497" t="s">
        <v>647</v>
      </c>
      <c r="C497" t="s">
        <v>701</v>
      </c>
      <c r="D497" t="s">
        <v>307</v>
      </c>
      <c r="E497" s="1">
        <v>43493</v>
      </c>
      <c r="F497" s="2">
        <f ca="1">DATEDIF(EmpTable[[#This Row],[Start Date]],TODAY(),"Y")</f>
        <v>7</v>
      </c>
      <c r="G497" t="s">
        <v>77</v>
      </c>
      <c r="H497" t="s">
        <v>18</v>
      </c>
      <c r="I497" t="s">
        <v>42</v>
      </c>
      <c r="J497">
        <v>3059</v>
      </c>
      <c r="K497">
        <v>36708</v>
      </c>
      <c r="L497">
        <v>4.5</v>
      </c>
      <c r="M497">
        <v>5</v>
      </c>
      <c r="N497">
        <v>0</v>
      </c>
      <c r="O497">
        <v>9</v>
      </c>
    </row>
    <row r="498" spans="1:15" x14ac:dyDescent="0.3">
      <c r="A498">
        <v>497</v>
      </c>
      <c r="B498" t="s">
        <v>30</v>
      </c>
      <c r="C498" t="s">
        <v>702</v>
      </c>
      <c r="D498" t="s">
        <v>32</v>
      </c>
      <c r="E498" s="1">
        <v>43482</v>
      </c>
      <c r="F498" s="2">
        <f ca="1">DATEDIF(EmpTable[[#This Row],[Start Date]],TODAY(),"Y")</f>
        <v>7</v>
      </c>
      <c r="G498" t="s">
        <v>41</v>
      </c>
      <c r="H498" t="s">
        <v>29</v>
      </c>
      <c r="I498" t="s">
        <v>42</v>
      </c>
      <c r="J498">
        <v>2077</v>
      </c>
      <c r="K498">
        <v>24924</v>
      </c>
      <c r="L498">
        <v>5</v>
      </c>
      <c r="M498">
        <v>6</v>
      </c>
      <c r="N498">
        <v>0</v>
      </c>
      <c r="O498">
        <v>4</v>
      </c>
    </row>
    <row r="499" spans="1:15" x14ac:dyDescent="0.3">
      <c r="A499">
        <v>498</v>
      </c>
      <c r="B499" t="s">
        <v>703</v>
      </c>
      <c r="C499" t="s">
        <v>704</v>
      </c>
      <c r="D499" t="s">
        <v>32</v>
      </c>
      <c r="E499" s="1">
        <v>43351</v>
      </c>
      <c r="F499" s="2">
        <f ca="1">DATEDIF(EmpTable[[#This Row],[Start Date]],TODAY(),"Y")</f>
        <v>7</v>
      </c>
      <c r="G499" t="s">
        <v>28</v>
      </c>
      <c r="H499" t="s">
        <v>18</v>
      </c>
      <c r="I499" t="s">
        <v>19</v>
      </c>
      <c r="J499">
        <v>1962</v>
      </c>
      <c r="K499">
        <v>23544</v>
      </c>
      <c r="L499">
        <v>4.5</v>
      </c>
      <c r="M499">
        <v>6</v>
      </c>
      <c r="N499">
        <v>0</v>
      </c>
      <c r="O499">
        <v>10</v>
      </c>
    </row>
    <row r="500" spans="1:15" x14ac:dyDescent="0.3">
      <c r="A500">
        <v>499</v>
      </c>
      <c r="B500" t="s">
        <v>33</v>
      </c>
      <c r="C500" t="s">
        <v>705</v>
      </c>
      <c r="D500" t="s">
        <v>32</v>
      </c>
      <c r="E500" s="1">
        <v>43600</v>
      </c>
      <c r="F500" s="2">
        <f ca="1">DATEDIF(EmpTable[[#This Row],[Start Date]],TODAY(),"Y")</f>
        <v>7</v>
      </c>
      <c r="G500" t="s">
        <v>50</v>
      </c>
      <c r="H500" t="s">
        <v>18</v>
      </c>
      <c r="I500" t="s">
        <v>36</v>
      </c>
      <c r="J500">
        <v>1573</v>
      </c>
      <c r="K500">
        <v>18876</v>
      </c>
      <c r="L500">
        <v>3</v>
      </c>
      <c r="M500">
        <v>6</v>
      </c>
      <c r="N500">
        <v>0</v>
      </c>
      <c r="O500">
        <v>2</v>
      </c>
    </row>
    <row r="501" spans="1:15" x14ac:dyDescent="0.3">
      <c r="A501">
        <v>500</v>
      </c>
      <c r="B501" t="s">
        <v>433</v>
      </c>
      <c r="C501" t="s">
        <v>706</v>
      </c>
      <c r="D501" t="s">
        <v>307</v>
      </c>
      <c r="E501" s="1">
        <v>43642</v>
      </c>
      <c r="F501" s="2">
        <f ca="1">DATEDIF(EmpTable[[#This Row],[Start Date]],TODAY(),"Y")</f>
        <v>7</v>
      </c>
      <c r="G501" t="s">
        <v>41</v>
      </c>
      <c r="H501" t="s">
        <v>22</v>
      </c>
      <c r="I501" t="s">
        <v>36</v>
      </c>
      <c r="J501">
        <v>882</v>
      </c>
      <c r="K501">
        <v>10584</v>
      </c>
      <c r="L501">
        <v>5</v>
      </c>
      <c r="M501">
        <v>0</v>
      </c>
      <c r="N501">
        <v>0</v>
      </c>
      <c r="O501">
        <v>8</v>
      </c>
    </row>
    <row r="502" spans="1:15" x14ac:dyDescent="0.3">
      <c r="A502">
        <v>501</v>
      </c>
      <c r="B502" t="s">
        <v>647</v>
      </c>
      <c r="C502" t="s">
        <v>707</v>
      </c>
      <c r="D502" t="s">
        <v>307</v>
      </c>
      <c r="E502" s="1">
        <v>43398</v>
      </c>
      <c r="F502" s="2">
        <f ca="1">DATEDIF(EmpTable[[#This Row],[Start Date]],TODAY(),"Y")</f>
        <v>7</v>
      </c>
      <c r="G502" t="s">
        <v>28</v>
      </c>
      <c r="H502" t="s">
        <v>18</v>
      </c>
      <c r="I502" t="s">
        <v>19</v>
      </c>
      <c r="J502">
        <v>1036</v>
      </c>
      <c r="K502">
        <v>12432</v>
      </c>
      <c r="L502">
        <v>5</v>
      </c>
      <c r="M502">
        <v>0</v>
      </c>
      <c r="N502">
        <v>6</v>
      </c>
      <c r="O502">
        <v>2</v>
      </c>
    </row>
    <row r="503" spans="1:15" x14ac:dyDescent="0.3">
      <c r="A503">
        <v>502</v>
      </c>
      <c r="B503" t="s">
        <v>708</v>
      </c>
      <c r="C503" t="s">
        <v>709</v>
      </c>
      <c r="D503" t="s">
        <v>32</v>
      </c>
      <c r="E503" s="1">
        <v>42381</v>
      </c>
      <c r="F503" s="2">
        <f ca="1">DATEDIF(EmpTable[[#This Row],[Start Date]],TODAY(),"Y")</f>
        <v>10</v>
      </c>
      <c r="G503" t="s">
        <v>50</v>
      </c>
      <c r="H503" t="s">
        <v>18</v>
      </c>
      <c r="I503" t="s">
        <v>898</v>
      </c>
      <c r="J503">
        <v>2790</v>
      </c>
      <c r="K503">
        <v>33480</v>
      </c>
      <c r="L503">
        <v>1</v>
      </c>
      <c r="M503">
        <v>1</v>
      </c>
      <c r="N503">
        <v>0</v>
      </c>
      <c r="O503">
        <v>8</v>
      </c>
    </row>
    <row r="504" spans="1:15" x14ac:dyDescent="0.3">
      <c r="A504">
        <v>503</v>
      </c>
      <c r="B504" t="s">
        <v>69</v>
      </c>
      <c r="C504" t="s">
        <v>142</v>
      </c>
      <c r="D504" t="s">
        <v>32</v>
      </c>
      <c r="E504" s="1">
        <v>43693</v>
      </c>
      <c r="F504" s="2">
        <f ca="1">DATEDIF(EmpTable[[#This Row],[Start Date]],TODAY(),"Y")</f>
        <v>7</v>
      </c>
      <c r="G504" t="s">
        <v>28</v>
      </c>
      <c r="H504" t="s">
        <v>18</v>
      </c>
      <c r="I504" t="s">
        <v>42</v>
      </c>
      <c r="J504">
        <v>1951</v>
      </c>
      <c r="K504">
        <v>23412</v>
      </c>
      <c r="L504">
        <v>4.5</v>
      </c>
      <c r="M504">
        <v>1</v>
      </c>
      <c r="N504">
        <v>0</v>
      </c>
      <c r="O504">
        <v>8</v>
      </c>
    </row>
    <row r="505" spans="1:15" x14ac:dyDescent="0.3">
      <c r="A505">
        <v>504</v>
      </c>
      <c r="B505" t="s">
        <v>30</v>
      </c>
      <c r="C505" t="s">
        <v>393</v>
      </c>
      <c r="D505" t="s">
        <v>32</v>
      </c>
      <c r="E505" s="1">
        <v>43289</v>
      </c>
      <c r="F505" s="2">
        <f ca="1">DATEDIF(EmpTable[[#This Row],[Start Date]],TODAY(),"Y")</f>
        <v>8</v>
      </c>
      <c r="G505" t="s">
        <v>17</v>
      </c>
      <c r="H505" t="s">
        <v>18</v>
      </c>
      <c r="I505" t="s">
        <v>42</v>
      </c>
      <c r="J505">
        <v>2255</v>
      </c>
      <c r="K505">
        <v>27060</v>
      </c>
      <c r="L505">
        <v>5</v>
      </c>
      <c r="M505">
        <v>0</v>
      </c>
      <c r="N505">
        <v>4</v>
      </c>
      <c r="O505">
        <v>10</v>
      </c>
    </row>
    <row r="506" spans="1:15" x14ac:dyDescent="0.3">
      <c r="A506">
        <v>505</v>
      </c>
      <c r="B506" t="s">
        <v>710</v>
      </c>
      <c r="C506" t="s">
        <v>711</v>
      </c>
      <c r="D506" t="s">
        <v>307</v>
      </c>
      <c r="E506" s="1">
        <v>42903</v>
      </c>
      <c r="F506" s="2">
        <f ca="1">DATEDIF(EmpTable[[#This Row],[Start Date]],TODAY(),"Y")</f>
        <v>9</v>
      </c>
      <c r="G506" t="s">
        <v>118</v>
      </c>
      <c r="H506" t="s">
        <v>18</v>
      </c>
      <c r="I506" t="s">
        <v>898</v>
      </c>
      <c r="J506">
        <v>3388</v>
      </c>
      <c r="K506">
        <v>40656</v>
      </c>
      <c r="L506">
        <v>3</v>
      </c>
      <c r="M506">
        <v>3</v>
      </c>
      <c r="N506">
        <v>0</v>
      </c>
      <c r="O506">
        <v>0</v>
      </c>
    </row>
    <row r="507" spans="1:15" x14ac:dyDescent="0.3">
      <c r="A507">
        <v>506</v>
      </c>
      <c r="B507" t="s">
        <v>712</v>
      </c>
      <c r="C507" t="s">
        <v>713</v>
      </c>
      <c r="D507" t="s">
        <v>32</v>
      </c>
      <c r="E507" s="1">
        <v>44123</v>
      </c>
      <c r="F507" s="2">
        <f ca="1">DATEDIF(EmpTable[[#This Row],[Start Date]],TODAY(),"Y")</f>
        <v>5</v>
      </c>
      <c r="G507" t="s">
        <v>58</v>
      </c>
      <c r="H507" t="s">
        <v>18</v>
      </c>
      <c r="I507" t="s">
        <v>19</v>
      </c>
      <c r="J507">
        <v>707</v>
      </c>
      <c r="K507">
        <v>8484</v>
      </c>
      <c r="L507">
        <v>2</v>
      </c>
      <c r="M507">
        <v>1</v>
      </c>
      <c r="N507">
        <v>0</v>
      </c>
      <c r="O507">
        <v>9</v>
      </c>
    </row>
    <row r="508" spans="1:15" x14ac:dyDescent="0.3">
      <c r="A508">
        <v>507</v>
      </c>
      <c r="B508" t="s">
        <v>192</v>
      </c>
      <c r="C508" t="s">
        <v>714</v>
      </c>
      <c r="D508" t="s">
        <v>307</v>
      </c>
      <c r="E508" s="1">
        <v>43996</v>
      </c>
      <c r="F508" s="2">
        <f ca="1">DATEDIF(EmpTable[[#This Row],[Start Date]],TODAY(),"Y")</f>
        <v>6</v>
      </c>
      <c r="G508" t="s">
        <v>93</v>
      </c>
      <c r="H508" t="s">
        <v>18</v>
      </c>
      <c r="I508" t="s">
        <v>42</v>
      </c>
      <c r="J508">
        <v>1161</v>
      </c>
      <c r="K508">
        <v>13932</v>
      </c>
      <c r="L508">
        <v>5</v>
      </c>
      <c r="M508">
        <v>0</v>
      </c>
      <c r="N508">
        <v>0</v>
      </c>
      <c r="O508">
        <v>9</v>
      </c>
    </row>
    <row r="509" spans="1:15" x14ac:dyDescent="0.3">
      <c r="A509">
        <v>508</v>
      </c>
      <c r="B509" t="s">
        <v>715</v>
      </c>
      <c r="C509" t="s">
        <v>716</v>
      </c>
      <c r="D509" t="s">
        <v>32</v>
      </c>
      <c r="E509" s="1">
        <v>43572</v>
      </c>
      <c r="F509" s="2">
        <f ca="1">DATEDIF(EmpTable[[#This Row],[Start Date]],TODAY(),"Y")</f>
        <v>7</v>
      </c>
      <c r="G509" t="s">
        <v>17</v>
      </c>
      <c r="H509" t="s">
        <v>29</v>
      </c>
      <c r="I509" t="s">
        <v>42</v>
      </c>
      <c r="J509">
        <v>1165</v>
      </c>
      <c r="K509">
        <v>13980</v>
      </c>
      <c r="L509">
        <v>5</v>
      </c>
      <c r="M509">
        <v>0</v>
      </c>
      <c r="N509">
        <v>0</v>
      </c>
      <c r="O509">
        <v>9</v>
      </c>
    </row>
    <row r="510" spans="1:15" x14ac:dyDescent="0.3">
      <c r="A510">
        <v>509</v>
      </c>
      <c r="B510" t="s">
        <v>59</v>
      </c>
      <c r="C510" t="s">
        <v>599</v>
      </c>
      <c r="D510" t="s">
        <v>307</v>
      </c>
      <c r="E510" s="1">
        <v>43542</v>
      </c>
      <c r="F510" s="2">
        <f ca="1">DATEDIF(EmpTable[[#This Row],[Start Date]],TODAY(),"Y")</f>
        <v>7</v>
      </c>
      <c r="G510" t="s">
        <v>50</v>
      </c>
      <c r="H510" t="s">
        <v>29</v>
      </c>
      <c r="I510" t="s">
        <v>42</v>
      </c>
      <c r="J510">
        <v>1351</v>
      </c>
      <c r="K510">
        <v>16212</v>
      </c>
      <c r="L510">
        <v>5</v>
      </c>
      <c r="M510">
        <v>0</v>
      </c>
      <c r="N510">
        <v>0</v>
      </c>
      <c r="O510">
        <v>7</v>
      </c>
    </row>
    <row r="511" spans="1:15" x14ac:dyDescent="0.3">
      <c r="A511">
        <v>510</v>
      </c>
      <c r="B511" t="s">
        <v>599</v>
      </c>
      <c r="C511" t="s">
        <v>717</v>
      </c>
      <c r="D511" t="s">
        <v>32</v>
      </c>
      <c r="E511" s="1">
        <v>42649</v>
      </c>
      <c r="F511" s="2">
        <f ca="1">DATEDIF(EmpTable[[#This Row],[Start Date]],TODAY(),"Y")</f>
        <v>9</v>
      </c>
      <c r="G511" t="s">
        <v>35</v>
      </c>
      <c r="H511" t="s">
        <v>18</v>
      </c>
      <c r="I511" t="s">
        <v>898</v>
      </c>
      <c r="J511">
        <v>1406</v>
      </c>
      <c r="K511">
        <v>16872</v>
      </c>
      <c r="L511">
        <v>3</v>
      </c>
      <c r="M511">
        <v>0</v>
      </c>
      <c r="N511">
        <v>3</v>
      </c>
      <c r="O511">
        <v>7</v>
      </c>
    </row>
    <row r="512" spans="1:15" x14ac:dyDescent="0.3">
      <c r="A512">
        <v>511</v>
      </c>
      <c r="B512" t="s">
        <v>718</v>
      </c>
      <c r="C512" t="s">
        <v>719</v>
      </c>
      <c r="D512" t="s">
        <v>307</v>
      </c>
      <c r="E512" s="1">
        <v>43473</v>
      </c>
      <c r="F512" s="2">
        <f ca="1">DATEDIF(EmpTable[[#This Row],[Start Date]],TODAY(),"Y")</f>
        <v>7</v>
      </c>
      <c r="G512" t="s">
        <v>41</v>
      </c>
      <c r="H512" t="s">
        <v>22</v>
      </c>
      <c r="I512" t="s">
        <v>42</v>
      </c>
      <c r="J512">
        <v>1699</v>
      </c>
      <c r="K512">
        <v>20388</v>
      </c>
      <c r="L512">
        <v>5</v>
      </c>
      <c r="M512">
        <v>0</v>
      </c>
      <c r="N512">
        <v>2</v>
      </c>
      <c r="O512">
        <v>5</v>
      </c>
    </row>
    <row r="513" spans="1:15" x14ac:dyDescent="0.3">
      <c r="A513">
        <v>512</v>
      </c>
      <c r="B513" t="s">
        <v>388</v>
      </c>
      <c r="C513" t="s">
        <v>341</v>
      </c>
      <c r="D513" t="s">
        <v>32</v>
      </c>
      <c r="E513" s="1">
        <v>43043</v>
      </c>
      <c r="F513" s="2">
        <f ca="1">DATEDIF(EmpTable[[#This Row],[Start Date]],TODAY(),"Y")</f>
        <v>8</v>
      </c>
      <c r="G513" t="s">
        <v>53</v>
      </c>
      <c r="H513" t="s">
        <v>18</v>
      </c>
      <c r="I513" t="s">
        <v>36</v>
      </c>
      <c r="J513">
        <v>3007</v>
      </c>
      <c r="K513">
        <v>36084</v>
      </c>
      <c r="L513">
        <v>5</v>
      </c>
      <c r="M513">
        <v>0</v>
      </c>
      <c r="N513">
        <v>6</v>
      </c>
      <c r="O513">
        <v>11</v>
      </c>
    </row>
    <row r="514" spans="1:15" x14ac:dyDescent="0.3">
      <c r="A514">
        <v>513</v>
      </c>
      <c r="B514" t="s">
        <v>720</v>
      </c>
      <c r="C514" t="s">
        <v>721</v>
      </c>
      <c r="D514" t="s">
        <v>307</v>
      </c>
      <c r="E514" s="1">
        <v>44008</v>
      </c>
      <c r="F514" s="2">
        <f ca="1">DATEDIF(EmpTable[[#This Row],[Start Date]],TODAY(),"Y")</f>
        <v>6</v>
      </c>
      <c r="G514" t="s">
        <v>35</v>
      </c>
      <c r="H514" t="s">
        <v>18</v>
      </c>
      <c r="I514" t="s">
        <v>42</v>
      </c>
      <c r="J514">
        <v>879</v>
      </c>
      <c r="K514">
        <v>10548</v>
      </c>
      <c r="L514">
        <v>3</v>
      </c>
      <c r="M514">
        <v>0</v>
      </c>
      <c r="N514">
        <v>0</v>
      </c>
      <c r="O514">
        <v>1</v>
      </c>
    </row>
    <row r="515" spans="1:15" x14ac:dyDescent="0.3">
      <c r="A515">
        <v>514</v>
      </c>
      <c r="B515" t="s">
        <v>33</v>
      </c>
      <c r="C515" t="s">
        <v>722</v>
      </c>
      <c r="D515" t="s">
        <v>32</v>
      </c>
      <c r="E515" s="1">
        <v>43586</v>
      </c>
      <c r="F515" s="2">
        <f ca="1">DATEDIF(EmpTable[[#This Row],[Start Date]],TODAY(),"Y")</f>
        <v>7</v>
      </c>
      <c r="G515" t="s">
        <v>77</v>
      </c>
      <c r="H515" t="s">
        <v>294</v>
      </c>
      <c r="I515" t="s">
        <v>36</v>
      </c>
      <c r="J515">
        <v>2537</v>
      </c>
      <c r="K515">
        <v>30444</v>
      </c>
      <c r="L515">
        <v>2</v>
      </c>
      <c r="M515">
        <v>0</v>
      </c>
      <c r="N515">
        <v>0</v>
      </c>
      <c r="O515">
        <v>3</v>
      </c>
    </row>
    <row r="516" spans="1:15" x14ac:dyDescent="0.3">
      <c r="A516">
        <v>515</v>
      </c>
      <c r="B516" t="s">
        <v>33</v>
      </c>
      <c r="C516" t="s">
        <v>370</v>
      </c>
      <c r="D516" t="s">
        <v>32</v>
      </c>
      <c r="E516" s="1">
        <v>44150</v>
      </c>
      <c r="F516" s="2">
        <f ca="1">DATEDIF(EmpTable[[#This Row],[Start Date]],TODAY(),"Y")</f>
        <v>5</v>
      </c>
      <c r="G516" t="s">
        <v>41</v>
      </c>
      <c r="H516" t="s">
        <v>18</v>
      </c>
      <c r="I516" t="s">
        <v>36</v>
      </c>
      <c r="J516">
        <v>2663</v>
      </c>
      <c r="K516">
        <v>31956</v>
      </c>
      <c r="L516">
        <v>3</v>
      </c>
      <c r="M516">
        <v>0</v>
      </c>
      <c r="N516">
        <v>0</v>
      </c>
      <c r="O516">
        <v>2</v>
      </c>
    </row>
    <row r="517" spans="1:15" x14ac:dyDescent="0.3">
      <c r="A517">
        <v>516</v>
      </c>
      <c r="B517" t="s">
        <v>398</v>
      </c>
      <c r="C517" t="s">
        <v>313</v>
      </c>
      <c r="D517" t="s">
        <v>32</v>
      </c>
      <c r="E517" s="1">
        <v>44119</v>
      </c>
      <c r="F517" s="2">
        <f ca="1">DATEDIF(EmpTable[[#This Row],[Start Date]],TODAY(),"Y")</f>
        <v>5</v>
      </c>
      <c r="G517" t="s">
        <v>17</v>
      </c>
      <c r="H517" t="s">
        <v>18</v>
      </c>
      <c r="I517" t="s">
        <v>42</v>
      </c>
      <c r="J517">
        <v>2494</v>
      </c>
      <c r="K517">
        <v>29928</v>
      </c>
      <c r="L517">
        <v>4.5</v>
      </c>
      <c r="M517">
        <v>2</v>
      </c>
      <c r="N517">
        <v>0</v>
      </c>
      <c r="O517">
        <v>2</v>
      </c>
    </row>
    <row r="518" spans="1:15" x14ac:dyDescent="0.3">
      <c r="A518">
        <v>517</v>
      </c>
      <c r="B518" t="s">
        <v>723</v>
      </c>
      <c r="C518" t="s">
        <v>724</v>
      </c>
      <c r="D518" t="s">
        <v>307</v>
      </c>
      <c r="E518" s="1">
        <v>43775</v>
      </c>
      <c r="F518" s="2">
        <f ca="1">DATEDIF(EmpTable[[#This Row],[Start Date]],TODAY(),"Y")</f>
        <v>6</v>
      </c>
      <c r="G518" t="s">
        <v>163</v>
      </c>
      <c r="H518" t="s">
        <v>29</v>
      </c>
      <c r="I518" t="s">
        <v>36</v>
      </c>
      <c r="J518">
        <v>2585</v>
      </c>
      <c r="K518">
        <v>31020</v>
      </c>
      <c r="L518">
        <v>5</v>
      </c>
      <c r="M518">
        <v>1</v>
      </c>
      <c r="N518">
        <v>5</v>
      </c>
      <c r="O518">
        <v>7</v>
      </c>
    </row>
    <row r="519" spans="1:15" x14ac:dyDescent="0.3">
      <c r="A519">
        <v>518</v>
      </c>
      <c r="B519" t="s">
        <v>33</v>
      </c>
      <c r="C519" t="s">
        <v>313</v>
      </c>
      <c r="D519" t="s">
        <v>32</v>
      </c>
      <c r="E519" s="1">
        <v>43809</v>
      </c>
      <c r="F519" s="2">
        <f ca="1">DATEDIF(EmpTable[[#This Row],[Start Date]],TODAY(),"Y")</f>
        <v>6</v>
      </c>
      <c r="G519" t="s">
        <v>45</v>
      </c>
      <c r="H519" t="s">
        <v>29</v>
      </c>
      <c r="I519" t="s">
        <v>42</v>
      </c>
      <c r="J519">
        <v>1776</v>
      </c>
      <c r="K519">
        <v>21312</v>
      </c>
      <c r="L519">
        <v>2</v>
      </c>
      <c r="M519">
        <v>0</v>
      </c>
      <c r="N519">
        <v>0</v>
      </c>
      <c r="O519">
        <v>0</v>
      </c>
    </row>
    <row r="520" spans="1:15" x14ac:dyDescent="0.3">
      <c r="A520">
        <v>519</v>
      </c>
      <c r="B520" t="s">
        <v>89</v>
      </c>
      <c r="C520" t="s">
        <v>725</v>
      </c>
      <c r="D520" t="s">
        <v>307</v>
      </c>
      <c r="E520" s="1">
        <v>42993</v>
      </c>
      <c r="F520" s="2">
        <f ca="1">DATEDIF(EmpTable[[#This Row],[Start Date]],TODAY(),"Y")</f>
        <v>8</v>
      </c>
      <c r="G520" t="s">
        <v>53</v>
      </c>
      <c r="H520" t="s">
        <v>18</v>
      </c>
      <c r="I520" t="s">
        <v>36</v>
      </c>
      <c r="J520">
        <v>3055</v>
      </c>
      <c r="K520">
        <v>36660</v>
      </c>
      <c r="L520">
        <v>3</v>
      </c>
      <c r="M520">
        <v>0</v>
      </c>
      <c r="N520">
        <v>4</v>
      </c>
      <c r="O520">
        <v>9</v>
      </c>
    </row>
    <row r="521" spans="1:15" x14ac:dyDescent="0.3">
      <c r="A521">
        <v>520</v>
      </c>
      <c r="B521" t="s">
        <v>67</v>
      </c>
      <c r="C521" t="s">
        <v>726</v>
      </c>
      <c r="D521" t="s">
        <v>32</v>
      </c>
      <c r="E521" s="1">
        <v>43113</v>
      </c>
      <c r="F521" s="2">
        <f ca="1">DATEDIF(EmpTable[[#This Row],[Start Date]],TODAY(),"Y")</f>
        <v>8</v>
      </c>
      <c r="G521" t="s">
        <v>28</v>
      </c>
      <c r="H521" t="s">
        <v>22</v>
      </c>
      <c r="I521" t="s">
        <v>42</v>
      </c>
      <c r="J521">
        <v>1707</v>
      </c>
      <c r="K521">
        <v>20484</v>
      </c>
      <c r="L521">
        <v>3</v>
      </c>
      <c r="M521">
        <v>0</v>
      </c>
      <c r="N521">
        <v>0</v>
      </c>
      <c r="O521">
        <v>4</v>
      </c>
    </row>
    <row r="522" spans="1:15" x14ac:dyDescent="0.3">
      <c r="A522">
        <v>521</v>
      </c>
      <c r="B522" t="s">
        <v>30</v>
      </c>
      <c r="C522" t="s">
        <v>727</v>
      </c>
      <c r="D522" t="s">
        <v>32</v>
      </c>
      <c r="E522" s="1">
        <v>43643</v>
      </c>
      <c r="F522" s="2">
        <f ca="1">DATEDIF(EmpTable[[#This Row],[Start Date]],TODAY(),"Y")</f>
        <v>7</v>
      </c>
      <c r="G522" t="s">
        <v>53</v>
      </c>
      <c r="H522" t="s">
        <v>29</v>
      </c>
      <c r="I522" t="s">
        <v>42</v>
      </c>
      <c r="J522">
        <v>2719</v>
      </c>
      <c r="K522">
        <v>32628</v>
      </c>
      <c r="L522">
        <v>3</v>
      </c>
      <c r="M522">
        <v>0</v>
      </c>
      <c r="N522">
        <v>0</v>
      </c>
      <c r="O522">
        <v>7</v>
      </c>
    </row>
    <row r="523" spans="1:15" x14ac:dyDescent="0.3">
      <c r="A523">
        <v>522</v>
      </c>
      <c r="B523" t="s">
        <v>728</v>
      </c>
      <c r="C523" t="s">
        <v>183</v>
      </c>
      <c r="D523" t="s">
        <v>32</v>
      </c>
      <c r="E523" s="1">
        <v>44182</v>
      </c>
      <c r="F523" s="2">
        <f ca="1">DATEDIF(EmpTable[[#This Row],[Start Date]],TODAY(),"Y")</f>
        <v>5</v>
      </c>
      <c r="G523" t="s">
        <v>58</v>
      </c>
      <c r="H523" t="s">
        <v>18</v>
      </c>
      <c r="I523" t="s">
        <v>60</v>
      </c>
      <c r="J523">
        <v>1715</v>
      </c>
      <c r="K523">
        <v>20580</v>
      </c>
      <c r="L523">
        <v>3</v>
      </c>
      <c r="M523">
        <v>0</v>
      </c>
      <c r="N523">
        <v>0</v>
      </c>
      <c r="O523">
        <v>10</v>
      </c>
    </row>
    <row r="524" spans="1:15" x14ac:dyDescent="0.3">
      <c r="A524">
        <v>523</v>
      </c>
      <c r="B524" t="s">
        <v>33</v>
      </c>
      <c r="C524" t="s">
        <v>729</v>
      </c>
      <c r="D524" t="s">
        <v>32</v>
      </c>
      <c r="E524" s="1">
        <v>43487</v>
      </c>
      <c r="F524" s="2">
        <f ca="1">DATEDIF(EmpTable[[#This Row],[Start Date]],TODAY(),"Y")</f>
        <v>7</v>
      </c>
      <c r="G524" t="s">
        <v>28</v>
      </c>
      <c r="H524" t="s">
        <v>18</v>
      </c>
      <c r="I524" t="s">
        <v>19</v>
      </c>
      <c r="J524">
        <v>2181</v>
      </c>
      <c r="K524">
        <v>26172</v>
      </c>
      <c r="L524">
        <v>2</v>
      </c>
      <c r="M524">
        <v>0</v>
      </c>
      <c r="N524">
        <v>0</v>
      </c>
      <c r="O524">
        <v>1</v>
      </c>
    </row>
    <row r="525" spans="1:15" x14ac:dyDescent="0.3">
      <c r="A525">
        <v>524</v>
      </c>
      <c r="B525" t="s">
        <v>375</v>
      </c>
      <c r="C525" t="s">
        <v>575</v>
      </c>
      <c r="D525" t="s">
        <v>307</v>
      </c>
      <c r="E525" s="1">
        <v>43086</v>
      </c>
      <c r="F525" s="2">
        <f ca="1">DATEDIF(EmpTable[[#This Row],[Start Date]],TODAY(),"Y")</f>
        <v>8</v>
      </c>
      <c r="G525" t="s">
        <v>28</v>
      </c>
      <c r="H525" t="s">
        <v>29</v>
      </c>
      <c r="I525" t="s">
        <v>36</v>
      </c>
      <c r="J525">
        <v>1382</v>
      </c>
      <c r="K525">
        <v>16584</v>
      </c>
      <c r="L525">
        <v>5</v>
      </c>
      <c r="M525">
        <v>0</v>
      </c>
      <c r="N525">
        <v>4</v>
      </c>
      <c r="O525">
        <v>8</v>
      </c>
    </row>
    <row r="526" spans="1:15" x14ac:dyDescent="0.3">
      <c r="A526">
        <v>525</v>
      </c>
      <c r="B526" t="s">
        <v>375</v>
      </c>
      <c r="C526" t="s">
        <v>142</v>
      </c>
      <c r="D526" t="s">
        <v>307</v>
      </c>
      <c r="E526" s="1">
        <v>43957</v>
      </c>
      <c r="F526" s="2">
        <f ca="1">DATEDIF(EmpTable[[#This Row],[Start Date]],TODAY(),"Y")</f>
        <v>6</v>
      </c>
      <c r="G526" t="s">
        <v>28</v>
      </c>
      <c r="H526" t="s">
        <v>18</v>
      </c>
      <c r="I526" t="s">
        <v>36</v>
      </c>
      <c r="J526">
        <v>3350</v>
      </c>
      <c r="K526">
        <v>40200</v>
      </c>
      <c r="L526">
        <v>2</v>
      </c>
      <c r="M526">
        <v>0</v>
      </c>
      <c r="N526">
        <v>0</v>
      </c>
      <c r="O526">
        <v>8</v>
      </c>
    </row>
    <row r="527" spans="1:15" x14ac:dyDescent="0.3">
      <c r="A527">
        <v>526</v>
      </c>
      <c r="B527" t="s">
        <v>730</v>
      </c>
      <c r="C527" t="s">
        <v>731</v>
      </c>
      <c r="D527" t="s">
        <v>32</v>
      </c>
      <c r="E527" s="1">
        <v>43960</v>
      </c>
      <c r="F527" s="2">
        <f ca="1">DATEDIF(EmpTable[[#This Row],[Start Date]],TODAY(),"Y")</f>
        <v>6</v>
      </c>
      <c r="G527" t="s">
        <v>53</v>
      </c>
      <c r="H527" t="s">
        <v>29</v>
      </c>
      <c r="I527" t="s">
        <v>898</v>
      </c>
      <c r="J527">
        <v>1710</v>
      </c>
      <c r="K527">
        <v>20520</v>
      </c>
      <c r="L527">
        <v>5</v>
      </c>
      <c r="M527">
        <v>0</v>
      </c>
      <c r="N527">
        <v>0</v>
      </c>
      <c r="O527">
        <v>9</v>
      </c>
    </row>
    <row r="528" spans="1:15" x14ac:dyDescent="0.3">
      <c r="A528">
        <v>527</v>
      </c>
      <c r="B528" t="s">
        <v>732</v>
      </c>
      <c r="C528" t="s">
        <v>733</v>
      </c>
      <c r="D528" t="s">
        <v>32</v>
      </c>
      <c r="E528" s="1">
        <v>43593</v>
      </c>
      <c r="F528" s="2">
        <f ca="1">DATEDIF(EmpTable[[#This Row],[Start Date]],TODAY(),"Y")</f>
        <v>7</v>
      </c>
      <c r="G528" t="s">
        <v>28</v>
      </c>
      <c r="H528" t="s">
        <v>29</v>
      </c>
      <c r="I528" t="s">
        <v>42</v>
      </c>
      <c r="J528">
        <v>2785</v>
      </c>
      <c r="K528">
        <v>33420</v>
      </c>
      <c r="L528">
        <v>1</v>
      </c>
      <c r="M528">
        <v>0</v>
      </c>
      <c r="N528">
        <v>4</v>
      </c>
      <c r="O528">
        <v>3</v>
      </c>
    </row>
    <row r="529" spans="1:15" x14ac:dyDescent="0.3">
      <c r="A529">
        <v>528</v>
      </c>
      <c r="B529" t="s">
        <v>734</v>
      </c>
      <c r="C529" t="s">
        <v>575</v>
      </c>
      <c r="D529" t="s">
        <v>307</v>
      </c>
      <c r="E529" s="1">
        <v>43784</v>
      </c>
      <c r="F529" s="2">
        <f ca="1">DATEDIF(EmpTable[[#This Row],[Start Date]],TODAY(),"Y")</f>
        <v>6</v>
      </c>
      <c r="G529" t="s">
        <v>200</v>
      </c>
      <c r="H529" t="s">
        <v>29</v>
      </c>
      <c r="I529" t="s">
        <v>42</v>
      </c>
      <c r="J529">
        <v>2425</v>
      </c>
      <c r="K529">
        <v>29100</v>
      </c>
      <c r="L529">
        <v>4.5</v>
      </c>
      <c r="M529">
        <v>0</v>
      </c>
      <c r="N529">
        <v>0</v>
      </c>
      <c r="O529">
        <v>10</v>
      </c>
    </row>
    <row r="530" spans="1:15" x14ac:dyDescent="0.3">
      <c r="A530">
        <v>529</v>
      </c>
      <c r="B530" t="s">
        <v>33</v>
      </c>
      <c r="C530" t="s">
        <v>735</v>
      </c>
      <c r="D530" t="s">
        <v>32</v>
      </c>
      <c r="E530" s="1">
        <v>43309</v>
      </c>
      <c r="F530" s="2">
        <f ca="1">DATEDIF(EmpTable[[#This Row],[Start Date]],TODAY(),"Y")</f>
        <v>8</v>
      </c>
      <c r="G530" t="s">
        <v>58</v>
      </c>
      <c r="H530" t="s">
        <v>18</v>
      </c>
      <c r="I530" t="s">
        <v>60</v>
      </c>
      <c r="J530">
        <v>1117</v>
      </c>
      <c r="K530">
        <v>13404</v>
      </c>
      <c r="L530">
        <v>3</v>
      </c>
      <c r="M530">
        <v>3</v>
      </c>
      <c r="N530">
        <v>0</v>
      </c>
      <c r="O530">
        <v>8</v>
      </c>
    </row>
    <row r="531" spans="1:15" x14ac:dyDescent="0.3">
      <c r="A531">
        <v>530</v>
      </c>
      <c r="B531" t="s">
        <v>357</v>
      </c>
      <c r="C531" t="s">
        <v>736</v>
      </c>
      <c r="D531" t="s">
        <v>32</v>
      </c>
      <c r="E531" s="1">
        <v>43582</v>
      </c>
      <c r="F531" s="2">
        <f ca="1">DATEDIF(EmpTable[[#This Row],[Start Date]],TODAY(),"Y")</f>
        <v>7</v>
      </c>
      <c r="G531" t="s">
        <v>41</v>
      </c>
      <c r="H531" t="s">
        <v>18</v>
      </c>
      <c r="I531" t="s">
        <v>42</v>
      </c>
      <c r="J531">
        <v>1112</v>
      </c>
      <c r="K531">
        <v>13344</v>
      </c>
      <c r="L531">
        <v>5</v>
      </c>
      <c r="M531">
        <v>1</v>
      </c>
      <c r="N531">
        <v>6</v>
      </c>
      <c r="O531">
        <v>40</v>
      </c>
    </row>
    <row r="532" spans="1:15" x14ac:dyDescent="0.3">
      <c r="A532">
        <v>531</v>
      </c>
      <c r="B532" t="s">
        <v>86</v>
      </c>
      <c r="C532" t="s">
        <v>737</v>
      </c>
      <c r="D532" t="s">
        <v>32</v>
      </c>
      <c r="E532" s="1">
        <v>43944</v>
      </c>
      <c r="F532" s="2">
        <f ca="1">DATEDIF(EmpTable[[#This Row],[Start Date]],TODAY(),"Y")</f>
        <v>6</v>
      </c>
      <c r="G532" t="s">
        <v>58</v>
      </c>
      <c r="H532" t="s">
        <v>18</v>
      </c>
      <c r="I532" t="s">
        <v>19</v>
      </c>
      <c r="J532">
        <v>1928</v>
      </c>
      <c r="K532">
        <v>23136</v>
      </c>
      <c r="L532">
        <v>4.5</v>
      </c>
      <c r="M532">
        <v>6</v>
      </c>
      <c r="N532">
        <v>0</v>
      </c>
      <c r="O532">
        <v>1</v>
      </c>
    </row>
    <row r="533" spans="1:15" x14ac:dyDescent="0.3">
      <c r="A533">
        <v>532</v>
      </c>
      <c r="B533" t="s">
        <v>699</v>
      </c>
      <c r="C533" t="s">
        <v>80</v>
      </c>
      <c r="D533" t="s">
        <v>307</v>
      </c>
      <c r="E533" s="1">
        <v>43410</v>
      </c>
      <c r="F533" s="2">
        <f ca="1">DATEDIF(EmpTable[[#This Row],[Start Date]],TODAY(),"Y")</f>
        <v>7</v>
      </c>
      <c r="G533" t="s">
        <v>53</v>
      </c>
      <c r="H533" t="s">
        <v>22</v>
      </c>
      <c r="I533" t="s">
        <v>19</v>
      </c>
      <c r="J533">
        <v>3300</v>
      </c>
      <c r="K533">
        <v>39600</v>
      </c>
      <c r="L533">
        <v>5</v>
      </c>
      <c r="M533">
        <v>0</v>
      </c>
      <c r="N533">
        <v>0</v>
      </c>
      <c r="O533">
        <v>4</v>
      </c>
    </row>
    <row r="534" spans="1:15" x14ac:dyDescent="0.3">
      <c r="A534">
        <v>533</v>
      </c>
      <c r="B534" t="s">
        <v>69</v>
      </c>
      <c r="C534" t="s">
        <v>738</v>
      </c>
      <c r="D534" t="s">
        <v>32</v>
      </c>
      <c r="E534" s="1">
        <v>44027</v>
      </c>
      <c r="F534" s="2">
        <f ca="1">DATEDIF(EmpTable[[#This Row],[Start Date]],TODAY(),"Y")</f>
        <v>6</v>
      </c>
      <c r="G534" t="s">
        <v>58</v>
      </c>
      <c r="H534" t="s">
        <v>18</v>
      </c>
      <c r="I534" t="s">
        <v>36</v>
      </c>
      <c r="J534">
        <v>2378</v>
      </c>
      <c r="K534">
        <v>28536</v>
      </c>
      <c r="L534">
        <v>5</v>
      </c>
      <c r="M534">
        <v>0</v>
      </c>
      <c r="N534">
        <v>0</v>
      </c>
      <c r="O534">
        <v>5</v>
      </c>
    </row>
    <row r="535" spans="1:15" x14ac:dyDescent="0.3">
      <c r="A535">
        <v>534</v>
      </c>
      <c r="B535" t="s">
        <v>33</v>
      </c>
      <c r="C535" t="s">
        <v>739</v>
      </c>
      <c r="D535" t="s">
        <v>32</v>
      </c>
      <c r="E535" s="1">
        <v>42547</v>
      </c>
      <c r="F535" s="2">
        <f ca="1">DATEDIF(EmpTable[[#This Row],[Start Date]],TODAY(),"Y")</f>
        <v>10</v>
      </c>
      <c r="G535" t="s">
        <v>17</v>
      </c>
      <c r="H535" t="s">
        <v>29</v>
      </c>
      <c r="I535" t="s">
        <v>42</v>
      </c>
      <c r="J535">
        <v>3138</v>
      </c>
      <c r="K535">
        <v>37656</v>
      </c>
      <c r="L535">
        <v>5</v>
      </c>
      <c r="M535">
        <v>0</v>
      </c>
      <c r="N535">
        <v>0</v>
      </c>
      <c r="O535">
        <v>10</v>
      </c>
    </row>
    <row r="536" spans="1:15" x14ac:dyDescent="0.3">
      <c r="A536">
        <v>535</v>
      </c>
      <c r="B536" t="s">
        <v>30</v>
      </c>
      <c r="C536" t="s">
        <v>740</v>
      </c>
      <c r="D536" t="s">
        <v>32</v>
      </c>
      <c r="E536" s="1">
        <v>42945</v>
      </c>
      <c r="F536" s="2">
        <f ca="1">DATEDIF(EmpTable[[#This Row],[Start Date]],TODAY(),"Y")</f>
        <v>9</v>
      </c>
      <c r="G536" t="s">
        <v>28</v>
      </c>
      <c r="H536" t="s">
        <v>29</v>
      </c>
      <c r="I536" t="s">
        <v>42</v>
      </c>
      <c r="J536">
        <v>1981</v>
      </c>
      <c r="K536">
        <v>23772</v>
      </c>
      <c r="L536">
        <v>5</v>
      </c>
      <c r="M536">
        <v>1</v>
      </c>
      <c r="N536">
        <v>0</v>
      </c>
      <c r="O536">
        <v>3</v>
      </c>
    </row>
    <row r="537" spans="1:15" x14ac:dyDescent="0.3">
      <c r="A537">
        <v>536</v>
      </c>
      <c r="B537" t="s">
        <v>563</v>
      </c>
      <c r="C537" t="s">
        <v>741</v>
      </c>
      <c r="D537" t="s">
        <v>307</v>
      </c>
      <c r="E537" s="1">
        <v>43265</v>
      </c>
      <c r="F537" s="2">
        <f ca="1">DATEDIF(EmpTable[[#This Row],[Start Date]],TODAY(),"Y")</f>
        <v>8</v>
      </c>
      <c r="G537" t="s">
        <v>28</v>
      </c>
      <c r="H537" t="s">
        <v>22</v>
      </c>
      <c r="I537" t="s">
        <v>36</v>
      </c>
      <c r="J537">
        <v>1056</v>
      </c>
      <c r="K537">
        <v>12672</v>
      </c>
      <c r="L537">
        <v>3</v>
      </c>
      <c r="M537">
        <v>0</v>
      </c>
      <c r="N537">
        <v>0</v>
      </c>
      <c r="O537">
        <v>94</v>
      </c>
    </row>
    <row r="538" spans="1:15" x14ac:dyDescent="0.3">
      <c r="A538">
        <v>537</v>
      </c>
      <c r="B538" t="s">
        <v>33</v>
      </c>
      <c r="C538" t="s">
        <v>742</v>
      </c>
      <c r="D538" t="s">
        <v>32</v>
      </c>
      <c r="E538" s="1">
        <v>43830</v>
      </c>
      <c r="F538" s="2">
        <f ca="1">DATEDIF(EmpTable[[#This Row],[Start Date]],TODAY(),"Y")</f>
        <v>6</v>
      </c>
      <c r="G538" t="s">
        <v>53</v>
      </c>
      <c r="H538" t="s">
        <v>18</v>
      </c>
      <c r="I538" t="s">
        <v>898</v>
      </c>
      <c r="J538">
        <v>3295</v>
      </c>
      <c r="K538">
        <v>39540</v>
      </c>
      <c r="L538">
        <v>5</v>
      </c>
      <c r="M538">
        <v>0</v>
      </c>
      <c r="N538">
        <v>0</v>
      </c>
      <c r="O538">
        <v>2</v>
      </c>
    </row>
    <row r="539" spans="1:15" x14ac:dyDescent="0.3">
      <c r="A539">
        <v>538</v>
      </c>
      <c r="B539" t="s">
        <v>743</v>
      </c>
      <c r="C539" t="s">
        <v>744</v>
      </c>
      <c r="D539" t="s">
        <v>32</v>
      </c>
      <c r="E539" s="1">
        <v>43746</v>
      </c>
      <c r="F539" s="2">
        <f ca="1">DATEDIF(EmpTable[[#This Row],[Start Date]],TODAY(),"Y")</f>
        <v>6</v>
      </c>
      <c r="G539" t="s">
        <v>53</v>
      </c>
      <c r="H539" t="s">
        <v>18</v>
      </c>
      <c r="I539" t="s">
        <v>36</v>
      </c>
      <c r="J539">
        <v>1022</v>
      </c>
      <c r="K539">
        <v>12264</v>
      </c>
      <c r="L539">
        <v>4.5</v>
      </c>
      <c r="M539">
        <v>1</v>
      </c>
      <c r="N539">
        <v>0</v>
      </c>
      <c r="O539">
        <v>2</v>
      </c>
    </row>
    <row r="540" spans="1:15" x14ac:dyDescent="0.3">
      <c r="A540">
        <v>539</v>
      </c>
      <c r="B540" t="s">
        <v>71</v>
      </c>
      <c r="C540" t="s">
        <v>745</v>
      </c>
      <c r="D540" t="s">
        <v>32</v>
      </c>
      <c r="E540" s="1">
        <v>44125</v>
      </c>
      <c r="F540" s="2">
        <f ca="1">DATEDIF(EmpTable[[#This Row],[Start Date]],TODAY(),"Y")</f>
        <v>5</v>
      </c>
      <c r="G540" t="s">
        <v>45</v>
      </c>
      <c r="H540" t="s">
        <v>29</v>
      </c>
      <c r="I540" t="s">
        <v>42</v>
      </c>
      <c r="J540">
        <v>969</v>
      </c>
      <c r="K540">
        <v>11628</v>
      </c>
      <c r="L540">
        <v>3</v>
      </c>
      <c r="M540">
        <v>1</v>
      </c>
      <c r="N540">
        <v>0</v>
      </c>
      <c r="O540">
        <v>0</v>
      </c>
    </row>
    <row r="541" spans="1:15" x14ac:dyDescent="0.3">
      <c r="A541">
        <v>540</v>
      </c>
      <c r="B541" t="s">
        <v>30</v>
      </c>
      <c r="C541" t="s">
        <v>746</v>
      </c>
      <c r="D541" t="s">
        <v>32</v>
      </c>
      <c r="E541" s="1">
        <v>43568</v>
      </c>
      <c r="F541" s="2">
        <f ca="1">DATEDIF(EmpTable[[#This Row],[Start Date]],TODAY(),"Y")</f>
        <v>7</v>
      </c>
      <c r="G541" t="s">
        <v>93</v>
      </c>
      <c r="H541" t="s">
        <v>18</v>
      </c>
      <c r="I541" t="s">
        <v>36</v>
      </c>
      <c r="J541">
        <v>3354</v>
      </c>
      <c r="K541">
        <v>40248</v>
      </c>
      <c r="L541">
        <v>4.5</v>
      </c>
      <c r="M541">
        <v>3</v>
      </c>
      <c r="N541">
        <v>0</v>
      </c>
      <c r="O541">
        <v>1</v>
      </c>
    </row>
    <row r="542" spans="1:15" x14ac:dyDescent="0.3">
      <c r="A542">
        <v>541</v>
      </c>
      <c r="B542" t="s">
        <v>747</v>
      </c>
      <c r="C542" t="s">
        <v>288</v>
      </c>
      <c r="D542" t="s">
        <v>32</v>
      </c>
      <c r="E542" s="1">
        <v>43851</v>
      </c>
      <c r="F542" s="2">
        <f ca="1">DATEDIF(EmpTable[[#This Row],[Start Date]],TODAY(),"Y")</f>
        <v>6</v>
      </c>
      <c r="G542" t="s">
        <v>17</v>
      </c>
      <c r="H542" t="s">
        <v>18</v>
      </c>
      <c r="I542" t="s">
        <v>36</v>
      </c>
      <c r="J542">
        <v>2123</v>
      </c>
      <c r="K542">
        <v>25476</v>
      </c>
      <c r="L542">
        <v>5</v>
      </c>
      <c r="M542">
        <v>0</v>
      </c>
      <c r="N542">
        <v>0</v>
      </c>
      <c r="O542">
        <v>15</v>
      </c>
    </row>
    <row r="543" spans="1:15" x14ac:dyDescent="0.3">
      <c r="A543">
        <v>542</v>
      </c>
      <c r="B543" t="s">
        <v>330</v>
      </c>
      <c r="C543" t="s">
        <v>576</v>
      </c>
      <c r="D543" t="s">
        <v>307</v>
      </c>
      <c r="E543" s="1">
        <v>43728</v>
      </c>
      <c r="F543" s="2">
        <f ca="1">DATEDIF(EmpTable[[#This Row],[Start Date]],TODAY(),"Y")</f>
        <v>6</v>
      </c>
      <c r="G543" t="s">
        <v>53</v>
      </c>
      <c r="H543" t="s">
        <v>18</v>
      </c>
      <c r="I543" t="s">
        <v>19</v>
      </c>
      <c r="J543">
        <v>897</v>
      </c>
      <c r="K543">
        <v>10764</v>
      </c>
      <c r="L543">
        <v>3</v>
      </c>
      <c r="M543">
        <v>2</v>
      </c>
      <c r="N543">
        <v>0</v>
      </c>
      <c r="O543">
        <v>11</v>
      </c>
    </row>
    <row r="544" spans="1:15" x14ac:dyDescent="0.3">
      <c r="A544">
        <v>543</v>
      </c>
      <c r="B544" t="s">
        <v>33</v>
      </c>
      <c r="C544" t="s">
        <v>302</v>
      </c>
      <c r="D544" t="s">
        <v>32</v>
      </c>
      <c r="E544" s="1">
        <v>43207</v>
      </c>
      <c r="F544" s="2">
        <f ca="1">DATEDIF(EmpTable[[#This Row],[Start Date]],TODAY(),"Y")</f>
        <v>8</v>
      </c>
      <c r="G544" t="s">
        <v>17</v>
      </c>
      <c r="H544" t="s">
        <v>22</v>
      </c>
      <c r="I544" t="s">
        <v>42</v>
      </c>
      <c r="J544">
        <v>2925</v>
      </c>
      <c r="K544">
        <v>35100</v>
      </c>
      <c r="L544">
        <v>3</v>
      </c>
      <c r="M544">
        <v>3</v>
      </c>
      <c r="N544">
        <v>0</v>
      </c>
      <c r="O544">
        <v>14</v>
      </c>
    </row>
    <row r="545" spans="1:15" x14ac:dyDescent="0.3">
      <c r="A545">
        <v>544</v>
      </c>
      <c r="B545" t="s">
        <v>303</v>
      </c>
      <c r="C545" t="s">
        <v>748</v>
      </c>
      <c r="D545" t="s">
        <v>307</v>
      </c>
      <c r="E545" s="1">
        <v>43348</v>
      </c>
      <c r="F545" s="2">
        <f ca="1">DATEDIF(EmpTable[[#This Row],[Start Date]],TODAY(),"Y")</f>
        <v>7</v>
      </c>
      <c r="G545" t="s">
        <v>17</v>
      </c>
      <c r="H545" t="s">
        <v>18</v>
      </c>
      <c r="I545" t="s">
        <v>42</v>
      </c>
      <c r="J545">
        <v>1895</v>
      </c>
      <c r="K545">
        <v>22740</v>
      </c>
      <c r="L545">
        <v>2</v>
      </c>
      <c r="M545">
        <v>0</v>
      </c>
      <c r="N545">
        <v>5</v>
      </c>
      <c r="O545">
        <v>81</v>
      </c>
    </row>
    <row r="546" spans="1:15" x14ac:dyDescent="0.3">
      <c r="A546">
        <v>545</v>
      </c>
      <c r="B546" t="s">
        <v>33</v>
      </c>
      <c r="C546" t="s">
        <v>125</v>
      </c>
      <c r="D546" t="s">
        <v>32</v>
      </c>
      <c r="E546" s="1">
        <v>42409</v>
      </c>
      <c r="F546" s="2">
        <f ca="1">DATEDIF(EmpTable[[#This Row],[Start Date]],TODAY(),"Y")</f>
        <v>10</v>
      </c>
      <c r="G546" t="s">
        <v>163</v>
      </c>
      <c r="H546" t="s">
        <v>18</v>
      </c>
      <c r="I546" t="s">
        <v>19</v>
      </c>
      <c r="J546">
        <v>2191</v>
      </c>
      <c r="K546">
        <v>26292</v>
      </c>
      <c r="L546">
        <v>5</v>
      </c>
      <c r="M546">
        <v>2</v>
      </c>
      <c r="N546">
        <v>0</v>
      </c>
      <c r="O546">
        <v>7</v>
      </c>
    </row>
    <row r="547" spans="1:15" x14ac:dyDescent="0.3">
      <c r="A547">
        <v>546</v>
      </c>
      <c r="B547" t="s">
        <v>749</v>
      </c>
      <c r="C547" t="s">
        <v>372</v>
      </c>
      <c r="D547" t="s">
        <v>307</v>
      </c>
      <c r="E547" s="1">
        <v>43890</v>
      </c>
      <c r="F547" s="2">
        <f ca="1">DATEDIF(EmpTable[[#This Row],[Start Date]],TODAY(),"Y")</f>
        <v>6</v>
      </c>
      <c r="G547" t="s">
        <v>144</v>
      </c>
      <c r="H547" t="s">
        <v>18</v>
      </c>
      <c r="I547" t="s">
        <v>36</v>
      </c>
      <c r="J547">
        <v>3130</v>
      </c>
      <c r="K547">
        <v>37560</v>
      </c>
      <c r="L547">
        <v>3</v>
      </c>
      <c r="M547">
        <v>0</v>
      </c>
      <c r="N547">
        <v>0</v>
      </c>
      <c r="O547">
        <v>5</v>
      </c>
    </row>
    <row r="548" spans="1:15" x14ac:dyDescent="0.3">
      <c r="A548">
        <v>547</v>
      </c>
      <c r="B548" t="s">
        <v>750</v>
      </c>
      <c r="C548" t="s">
        <v>751</v>
      </c>
      <c r="D548" t="s">
        <v>307</v>
      </c>
      <c r="E548" s="1">
        <v>42695</v>
      </c>
      <c r="F548" s="2">
        <f ca="1">DATEDIF(EmpTable[[#This Row],[Start Date]],TODAY(),"Y")</f>
        <v>9</v>
      </c>
      <c r="G548" t="s">
        <v>35</v>
      </c>
      <c r="H548" t="s">
        <v>18</v>
      </c>
      <c r="I548" t="s">
        <v>19</v>
      </c>
      <c r="J548">
        <v>2654</v>
      </c>
      <c r="K548">
        <v>31848</v>
      </c>
      <c r="L548">
        <v>3</v>
      </c>
      <c r="M548">
        <v>0</v>
      </c>
      <c r="N548">
        <v>1</v>
      </c>
      <c r="O548">
        <v>7</v>
      </c>
    </row>
    <row r="549" spans="1:15" x14ac:dyDescent="0.3">
      <c r="A549">
        <v>548</v>
      </c>
      <c r="B549" t="s">
        <v>33</v>
      </c>
      <c r="C549" t="s">
        <v>752</v>
      </c>
      <c r="D549" t="s">
        <v>32</v>
      </c>
      <c r="E549" s="1">
        <v>44192</v>
      </c>
      <c r="F549" s="2">
        <f ca="1">DATEDIF(EmpTable[[#This Row],[Start Date]],TODAY(),"Y")</f>
        <v>5</v>
      </c>
      <c r="G549" t="s">
        <v>17</v>
      </c>
      <c r="H549" t="s">
        <v>22</v>
      </c>
      <c r="I549" t="s">
        <v>42</v>
      </c>
      <c r="J549">
        <v>859</v>
      </c>
      <c r="K549">
        <v>10308</v>
      </c>
      <c r="L549">
        <v>5</v>
      </c>
      <c r="M549">
        <v>0</v>
      </c>
      <c r="N549">
        <v>1</v>
      </c>
      <c r="O549">
        <v>5</v>
      </c>
    </row>
    <row r="550" spans="1:15" x14ac:dyDescent="0.3">
      <c r="A550">
        <v>549</v>
      </c>
      <c r="B550" t="s">
        <v>753</v>
      </c>
      <c r="C550" t="s">
        <v>754</v>
      </c>
      <c r="D550" t="s">
        <v>32</v>
      </c>
      <c r="E550" s="1">
        <v>42537</v>
      </c>
      <c r="F550" s="2">
        <f ca="1">DATEDIF(EmpTable[[#This Row],[Start Date]],TODAY(),"Y")</f>
        <v>10</v>
      </c>
      <c r="G550" t="s">
        <v>77</v>
      </c>
      <c r="H550" t="s">
        <v>18</v>
      </c>
      <c r="I550" t="s">
        <v>36</v>
      </c>
      <c r="J550">
        <v>1113</v>
      </c>
      <c r="K550">
        <v>13356</v>
      </c>
      <c r="L550">
        <v>3</v>
      </c>
      <c r="M550">
        <v>4</v>
      </c>
      <c r="N550">
        <v>0</v>
      </c>
      <c r="O550">
        <v>11</v>
      </c>
    </row>
    <row r="551" spans="1:15" x14ac:dyDescent="0.3">
      <c r="A551">
        <v>550</v>
      </c>
      <c r="B551" t="s">
        <v>165</v>
      </c>
      <c r="C551" t="s">
        <v>707</v>
      </c>
      <c r="D551" t="s">
        <v>32</v>
      </c>
      <c r="E551" s="1">
        <v>43725</v>
      </c>
      <c r="F551" s="2">
        <f ca="1">DATEDIF(EmpTable[[#This Row],[Start Date]],TODAY(),"Y")</f>
        <v>6</v>
      </c>
      <c r="G551" t="s">
        <v>41</v>
      </c>
      <c r="H551" t="s">
        <v>18</v>
      </c>
      <c r="I551" t="s">
        <v>60</v>
      </c>
      <c r="J551">
        <v>1234</v>
      </c>
      <c r="K551">
        <v>14808</v>
      </c>
      <c r="L551">
        <v>5</v>
      </c>
      <c r="M551">
        <v>1</v>
      </c>
      <c r="N551">
        <v>5</v>
      </c>
      <c r="O551">
        <v>10</v>
      </c>
    </row>
    <row r="552" spans="1:15" x14ac:dyDescent="0.3">
      <c r="A552">
        <v>551</v>
      </c>
      <c r="B552" t="s">
        <v>622</v>
      </c>
      <c r="C552" t="s">
        <v>396</v>
      </c>
      <c r="D552" t="s">
        <v>32</v>
      </c>
      <c r="E552" s="1">
        <v>43815</v>
      </c>
      <c r="F552" s="2">
        <f ca="1">DATEDIF(EmpTable[[#This Row],[Start Date]],TODAY(),"Y")</f>
        <v>6</v>
      </c>
      <c r="G552" t="s">
        <v>58</v>
      </c>
      <c r="H552" t="s">
        <v>18</v>
      </c>
      <c r="I552" t="s">
        <v>36</v>
      </c>
      <c r="J552">
        <v>2647</v>
      </c>
      <c r="K552">
        <v>31764</v>
      </c>
      <c r="L552">
        <v>3</v>
      </c>
      <c r="M552">
        <v>4</v>
      </c>
      <c r="N552">
        <v>0</v>
      </c>
      <c r="O552">
        <v>1</v>
      </c>
    </row>
    <row r="553" spans="1:15" x14ac:dyDescent="0.3">
      <c r="A553">
        <v>552</v>
      </c>
      <c r="B553" t="s">
        <v>303</v>
      </c>
      <c r="C553" t="s">
        <v>755</v>
      </c>
      <c r="D553" t="s">
        <v>307</v>
      </c>
      <c r="E553" s="1">
        <v>42583</v>
      </c>
      <c r="F553" s="2">
        <f ca="1">DATEDIF(EmpTable[[#This Row],[Start Date]],TODAY(),"Y")</f>
        <v>10</v>
      </c>
      <c r="G553" t="s">
        <v>45</v>
      </c>
      <c r="H553" t="s">
        <v>22</v>
      </c>
      <c r="I553" t="s">
        <v>36</v>
      </c>
      <c r="J553">
        <v>2200</v>
      </c>
      <c r="K553">
        <v>26400</v>
      </c>
      <c r="L553">
        <v>1</v>
      </c>
      <c r="M553">
        <v>1</v>
      </c>
      <c r="N553">
        <v>0</v>
      </c>
      <c r="O553">
        <v>6</v>
      </c>
    </row>
    <row r="554" spans="1:15" x14ac:dyDescent="0.3">
      <c r="A554">
        <v>553</v>
      </c>
      <c r="B554" t="s">
        <v>229</v>
      </c>
      <c r="C554" t="s">
        <v>369</v>
      </c>
      <c r="D554" t="s">
        <v>307</v>
      </c>
      <c r="E554" s="1">
        <v>43183</v>
      </c>
      <c r="F554" s="2">
        <f ca="1">DATEDIF(EmpTable[[#This Row],[Start Date]],TODAY(),"Y")</f>
        <v>8</v>
      </c>
      <c r="G554" t="s">
        <v>25</v>
      </c>
      <c r="H554" t="s">
        <v>18</v>
      </c>
      <c r="I554" t="s">
        <v>36</v>
      </c>
      <c r="J554">
        <v>2381</v>
      </c>
      <c r="K554">
        <v>28572</v>
      </c>
      <c r="L554">
        <v>4.5</v>
      </c>
      <c r="M554">
        <v>2</v>
      </c>
      <c r="N554">
        <v>0</v>
      </c>
      <c r="O554">
        <v>10</v>
      </c>
    </row>
    <row r="555" spans="1:15" x14ac:dyDescent="0.3">
      <c r="A555">
        <v>554</v>
      </c>
      <c r="B555" t="s">
        <v>327</v>
      </c>
      <c r="C555" t="s">
        <v>756</v>
      </c>
      <c r="D555" t="s">
        <v>32</v>
      </c>
      <c r="E555" s="1">
        <v>43817</v>
      </c>
      <c r="F555" s="2">
        <f ca="1">DATEDIF(EmpTable[[#This Row],[Start Date]],TODAY(),"Y")</f>
        <v>6</v>
      </c>
      <c r="G555" t="s">
        <v>41</v>
      </c>
      <c r="H555" t="s">
        <v>29</v>
      </c>
      <c r="I555" t="s">
        <v>42</v>
      </c>
      <c r="J555">
        <v>2329</v>
      </c>
      <c r="K555">
        <v>27948</v>
      </c>
      <c r="L555">
        <v>2</v>
      </c>
      <c r="M555">
        <v>0</v>
      </c>
      <c r="N555">
        <v>0</v>
      </c>
      <c r="O555">
        <v>5</v>
      </c>
    </row>
    <row r="556" spans="1:15" x14ac:dyDescent="0.3">
      <c r="A556">
        <v>555</v>
      </c>
      <c r="B556" t="s">
        <v>302</v>
      </c>
      <c r="C556" t="s">
        <v>757</v>
      </c>
      <c r="D556" t="s">
        <v>32</v>
      </c>
      <c r="E556" s="1">
        <v>43676</v>
      </c>
      <c r="F556" s="2">
        <f ca="1">DATEDIF(EmpTable[[#This Row],[Start Date]],TODAY(),"Y")</f>
        <v>7</v>
      </c>
      <c r="G556" t="s">
        <v>28</v>
      </c>
      <c r="H556" t="s">
        <v>18</v>
      </c>
      <c r="I556" t="s">
        <v>42</v>
      </c>
      <c r="J556">
        <v>1075</v>
      </c>
      <c r="K556">
        <v>12900</v>
      </c>
      <c r="L556">
        <v>3</v>
      </c>
      <c r="M556">
        <v>0</v>
      </c>
      <c r="N556">
        <v>4</v>
      </c>
      <c r="O556">
        <v>61</v>
      </c>
    </row>
    <row r="557" spans="1:15" x14ac:dyDescent="0.3">
      <c r="A557">
        <v>556</v>
      </c>
      <c r="B557" t="s">
        <v>334</v>
      </c>
      <c r="C557" t="s">
        <v>758</v>
      </c>
      <c r="D557" t="s">
        <v>307</v>
      </c>
      <c r="E557" s="1">
        <v>43013</v>
      </c>
      <c r="F557" s="2">
        <f ca="1">DATEDIF(EmpTable[[#This Row],[Start Date]],TODAY(),"Y")</f>
        <v>8</v>
      </c>
      <c r="G557" t="s">
        <v>58</v>
      </c>
      <c r="H557" t="s">
        <v>18</v>
      </c>
      <c r="I557" t="s">
        <v>42</v>
      </c>
      <c r="J557">
        <v>3110</v>
      </c>
      <c r="K557">
        <v>37320</v>
      </c>
      <c r="L557">
        <v>1</v>
      </c>
      <c r="M557">
        <v>1</v>
      </c>
      <c r="N557">
        <v>4</v>
      </c>
      <c r="O557">
        <v>1</v>
      </c>
    </row>
    <row r="558" spans="1:15" x14ac:dyDescent="0.3">
      <c r="A558">
        <v>557</v>
      </c>
      <c r="B558" t="s">
        <v>460</v>
      </c>
      <c r="C558" t="s">
        <v>759</v>
      </c>
      <c r="D558" t="s">
        <v>32</v>
      </c>
      <c r="E558" s="1">
        <v>42878</v>
      </c>
      <c r="F558" s="2">
        <f ca="1">DATEDIF(EmpTable[[#This Row],[Start Date]],TODAY(),"Y")</f>
        <v>9</v>
      </c>
      <c r="G558" t="s">
        <v>28</v>
      </c>
      <c r="H558" t="s">
        <v>18</v>
      </c>
      <c r="I558" t="s">
        <v>36</v>
      </c>
      <c r="J558">
        <v>2777</v>
      </c>
      <c r="K558">
        <v>33324</v>
      </c>
      <c r="L558">
        <v>5</v>
      </c>
      <c r="M558">
        <v>0</v>
      </c>
      <c r="N558">
        <v>0</v>
      </c>
      <c r="O558">
        <v>10</v>
      </c>
    </row>
    <row r="559" spans="1:15" x14ac:dyDescent="0.3">
      <c r="A559">
        <v>558</v>
      </c>
      <c r="B559" t="s">
        <v>33</v>
      </c>
      <c r="C559" t="s">
        <v>760</v>
      </c>
      <c r="D559" t="s">
        <v>32</v>
      </c>
      <c r="E559" s="1">
        <v>43525</v>
      </c>
      <c r="F559" s="2">
        <f ca="1">DATEDIF(EmpTable[[#This Row],[Start Date]],TODAY(),"Y")</f>
        <v>7</v>
      </c>
      <c r="G559" t="s">
        <v>76</v>
      </c>
      <c r="H559" t="s">
        <v>18</v>
      </c>
      <c r="I559" t="s">
        <v>19</v>
      </c>
      <c r="J559">
        <v>2306</v>
      </c>
      <c r="K559">
        <v>27672</v>
      </c>
      <c r="L559">
        <v>2</v>
      </c>
      <c r="M559">
        <v>5</v>
      </c>
      <c r="N559">
        <v>5</v>
      </c>
      <c r="O559">
        <v>11</v>
      </c>
    </row>
    <row r="560" spans="1:15" x14ac:dyDescent="0.3">
      <c r="A560">
        <v>559</v>
      </c>
      <c r="B560" t="s">
        <v>206</v>
      </c>
      <c r="C560" t="s">
        <v>761</v>
      </c>
      <c r="D560" t="s">
        <v>307</v>
      </c>
      <c r="E560" s="1">
        <v>42722</v>
      </c>
      <c r="F560" s="2">
        <f ca="1">DATEDIF(EmpTable[[#This Row],[Start Date]],TODAY(),"Y")</f>
        <v>9</v>
      </c>
      <c r="G560" t="s">
        <v>77</v>
      </c>
      <c r="H560" t="s">
        <v>18</v>
      </c>
      <c r="I560" t="s">
        <v>42</v>
      </c>
      <c r="J560">
        <v>1213</v>
      </c>
      <c r="K560">
        <v>14556</v>
      </c>
      <c r="L560">
        <v>3</v>
      </c>
      <c r="M560">
        <v>0</v>
      </c>
      <c r="N560">
        <v>0</v>
      </c>
      <c r="O560">
        <v>10</v>
      </c>
    </row>
    <row r="561" spans="1:15" x14ac:dyDescent="0.3">
      <c r="A561">
        <v>560</v>
      </c>
      <c r="B561" t="s">
        <v>762</v>
      </c>
      <c r="C561" t="s">
        <v>763</v>
      </c>
      <c r="D561" t="s">
        <v>307</v>
      </c>
      <c r="E561" s="1">
        <v>43940</v>
      </c>
      <c r="F561" s="2">
        <f ca="1">DATEDIF(EmpTable[[#This Row],[Start Date]],TODAY(),"Y")</f>
        <v>6</v>
      </c>
      <c r="G561" t="s">
        <v>77</v>
      </c>
      <c r="H561" t="s">
        <v>18</v>
      </c>
      <c r="I561" t="s">
        <v>60</v>
      </c>
      <c r="J561">
        <v>2680</v>
      </c>
      <c r="K561">
        <v>32160</v>
      </c>
      <c r="L561">
        <v>4.5</v>
      </c>
      <c r="M561">
        <v>0</v>
      </c>
      <c r="N561">
        <v>0</v>
      </c>
      <c r="O561">
        <v>1</v>
      </c>
    </row>
    <row r="562" spans="1:15" x14ac:dyDescent="0.3">
      <c r="A562">
        <v>561</v>
      </c>
      <c r="B562" t="s">
        <v>764</v>
      </c>
      <c r="C562" t="s">
        <v>765</v>
      </c>
      <c r="D562" t="s">
        <v>307</v>
      </c>
      <c r="E562" s="1">
        <v>44152</v>
      </c>
      <c r="F562" s="2">
        <f ca="1">DATEDIF(EmpTable[[#This Row],[Start Date]],TODAY(),"Y")</f>
        <v>5</v>
      </c>
      <c r="G562" t="s">
        <v>77</v>
      </c>
      <c r="H562" t="s">
        <v>18</v>
      </c>
      <c r="I562" t="s">
        <v>898</v>
      </c>
      <c r="J562">
        <v>2204</v>
      </c>
      <c r="K562">
        <v>26448</v>
      </c>
      <c r="L562">
        <v>4.5</v>
      </c>
      <c r="M562">
        <v>1</v>
      </c>
      <c r="N562">
        <v>0</v>
      </c>
      <c r="O562">
        <v>4</v>
      </c>
    </row>
    <row r="563" spans="1:15" x14ac:dyDescent="0.3">
      <c r="A563">
        <v>562</v>
      </c>
      <c r="B563" t="s">
        <v>766</v>
      </c>
      <c r="C563" t="s">
        <v>767</v>
      </c>
      <c r="D563" t="s">
        <v>307</v>
      </c>
      <c r="E563" s="1">
        <v>43113</v>
      </c>
      <c r="F563" s="2">
        <f ca="1">DATEDIF(EmpTable[[#This Row],[Start Date]],TODAY(),"Y")</f>
        <v>8</v>
      </c>
      <c r="G563" t="s">
        <v>28</v>
      </c>
      <c r="H563" t="s">
        <v>18</v>
      </c>
      <c r="I563" t="s">
        <v>42</v>
      </c>
      <c r="J563">
        <v>1297</v>
      </c>
      <c r="K563">
        <v>15564</v>
      </c>
      <c r="L563">
        <v>2</v>
      </c>
      <c r="M563">
        <v>2</v>
      </c>
      <c r="N563">
        <v>0</v>
      </c>
      <c r="O563">
        <v>8</v>
      </c>
    </row>
    <row r="564" spans="1:15" x14ac:dyDescent="0.3">
      <c r="A564">
        <v>563</v>
      </c>
      <c r="B564" t="s">
        <v>506</v>
      </c>
      <c r="C564" t="s">
        <v>768</v>
      </c>
      <c r="D564" t="s">
        <v>32</v>
      </c>
      <c r="E564" s="1">
        <v>44179</v>
      </c>
      <c r="F564" s="2">
        <f ca="1">DATEDIF(EmpTable[[#This Row],[Start Date]],TODAY(),"Y")</f>
        <v>5</v>
      </c>
      <c r="G564" t="s">
        <v>17</v>
      </c>
      <c r="H564" t="s">
        <v>18</v>
      </c>
      <c r="I564" t="s">
        <v>36</v>
      </c>
      <c r="J564">
        <v>3024</v>
      </c>
      <c r="K564">
        <v>36288</v>
      </c>
      <c r="L564">
        <v>4.5</v>
      </c>
      <c r="M564">
        <v>6</v>
      </c>
      <c r="N564">
        <v>1</v>
      </c>
      <c r="O564">
        <v>48</v>
      </c>
    </row>
    <row r="565" spans="1:15" x14ac:dyDescent="0.3">
      <c r="A565">
        <v>564</v>
      </c>
      <c r="B565" t="s">
        <v>33</v>
      </c>
      <c r="C565" t="s">
        <v>769</v>
      </c>
      <c r="D565" t="s">
        <v>32</v>
      </c>
      <c r="E565" s="1">
        <v>43142</v>
      </c>
      <c r="F565" s="2">
        <f ca="1">DATEDIF(EmpTable[[#This Row],[Start Date]],TODAY(),"Y")</f>
        <v>8</v>
      </c>
      <c r="G565" t="s">
        <v>118</v>
      </c>
      <c r="H565" t="s">
        <v>18</v>
      </c>
      <c r="I565" t="s">
        <v>42</v>
      </c>
      <c r="J565">
        <v>2228</v>
      </c>
      <c r="K565">
        <v>26736</v>
      </c>
      <c r="L565">
        <v>5</v>
      </c>
      <c r="M565">
        <v>1</v>
      </c>
      <c r="N565">
        <v>0</v>
      </c>
      <c r="O565">
        <v>78</v>
      </c>
    </row>
    <row r="566" spans="1:15" x14ac:dyDescent="0.3">
      <c r="A566">
        <v>565</v>
      </c>
      <c r="B566" t="s">
        <v>770</v>
      </c>
      <c r="C566" t="s">
        <v>771</v>
      </c>
      <c r="D566" t="s">
        <v>32</v>
      </c>
      <c r="E566" s="1">
        <v>42377</v>
      </c>
      <c r="F566" s="2">
        <f ca="1">DATEDIF(EmpTable[[#This Row],[Start Date]],TODAY(),"Y")</f>
        <v>10</v>
      </c>
      <c r="G566" t="s">
        <v>77</v>
      </c>
      <c r="H566" t="s">
        <v>18</v>
      </c>
      <c r="I566" t="s">
        <v>19</v>
      </c>
      <c r="J566">
        <v>2009</v>
      </c>
      <c r="K566">
        <v>24108</v>
      </c>
      <c r="L566">
        <v>4.5</v>
      </c>
      <c r="M566">
        <v>6</v>
      </c>
      <c r="N566">
        <v>0</v>
      </c>
      <c r="O566">
        <v>0</v>
      </c>
    </row>
    <row r="567" spans="1:15" x14ac:dyDescent="0.3">
      <c r="A567">
        <v>566</v>
      </c>
      <c r="B567" t="s">
        <v>772</v>
      </c>
      <c r="C567" t="s">
        <v>773</v>
      </c>
      <c r="D567" t="s">
        <v>32</v>
      </c>
      <c r="E567" s="1">
        <v>44087</v>
      </c>
      <c r="F567" s="2">
        <f ca="1">DATEDIF(EmpTable[[#This Row],[Start Date]],TODAY(),"Y")</f>
        <v>5</v>
      </c>
      <c r="G567" t="s">
        <v>41</v>
      </c>
      <c r="H567" t="s">
        <v>18</v>
      </c>
      <c r="I567" t="s">
        <v>36</v>
      </c>
      <c r="J567">
        <v>2573</v>
      </c>
      <c r="K567">
        <v>30876</v>
      </c>
      <c r="L567">
        <v>5</v>
      </c>
      <c r="M567">
        <v>0</v>
      </c>
      <c r="N567">
        <v>0</v>
      </c>
      <c r="O567">
        <v>28</v>
      </c>
    </row>
    <row r="568" spans="1:15" x14ac:dyDescent="0.3">
      <c r="A568">
        <v>567</v>
      </c>
      <c r="B568" t="s">
        <v>774</v>
      </c>
      <c r="C568" t="s">
        <v>412</v>
      </c>
      <c r="D568" t="s">
        <v>32</v>
      </c>
      <c r="E568" s="1">
        <v>43194</v>
      </c>
      <c r="F568" s="2">
        <f ca="1">DATEDIF(EmpTable[[#This Row],[Start Date]],TODAY(),"Y")</f>
        <v>8</v>
      </c>
      <c r="G568" t="s">
        <v>28</v>
      </c>
      <c r="H568" t="s">
        <v>18</v>
      </c>
      <c r="I568" t="s">
        <v>36</v>
      </c>
      <c r="J568">
        <v>1938</v>
      </c>
      <c r="K568">
        <v>23256</v>
      </c>
      <c r="L568">
        <v>3</v>
      </c>
      <c r="M568">
        <v>0</v>
      </c>
      <c r="N568">
        <v>0</v>
      </c>
      <c r="O568">
        <v>7</v>
      </c>
    </row>
    <row r="569" spans="1:15" x14ac:dyDescent="0.3">
      <c r="A569">
        <v>568</v>
      </c>
      <c r="B569" t="s">
        <v>578</v>
      </c>
      <c r="C569" t="s">
        <v>775</v>
      </c>
      <c r="D569" t="s">
        <v>307</v>
      </c>
      <c r="E569" s="1">
        <v>43663</v>
      </c>
      <c r="F569" s="2">
        <f ca="1">DATEDIF(EmpTable[[#This Row],[Start Date]],TODAY(),"Y")</f>
        <v>7</v>
      </c>
      <c r="G569" t="s">
        <v>41</v>
      </c>
      <c r="H569" t="s">
        <v>18</v>
      </c>
      <c r="I569" t="s">
        <v>42</v>
      </c>
      <c r="J569">
        <v>1208</v>
      </c>
      <c r="K569">
        <v>14496</v>
      </c>
      <c r="L569">
        <v>5</v>
      </c>
      <c r="M569">
        <v>3</v>
      </c>
      <c r="N569">
        <v>0</v>
      </c>
      <c r="O569">
        <v>10</v>
      </c>
    </row>
    <row r="570" spans="1:15" x14ac:dyDescent="0.3">
      <c r="A570">
        <v>569</v>
      </c>
      <c r="B570" t="s">
        <v>776</v>
      </c>
      <c r="C570" t="s">
        <v>777</v>
      </c>
      <c r="D570" t="s">
        <v>32</v>
      </c>
      <c r="E570" s="1">
        <v>43663</v>
      </c>
      <c r="F570" s="2">
        <f ca="1">DATEDIF(EmpTable[[#This Row],[Start Date]],TODAY(),"Y")</f>
        <v>7</v>
      </c>
      <c r="G570" t="s">
        <v>73</v>
      </c>
      <c r="H570" t="s">
        <v>48</v>
      </c>
      <c r="I570" t="s">
        <v>19</v>
      </c>
      <c r="J570">
        <v>2342</v>
      </c>
      <c r="K570">
        <v>28104</v>
      </c>
      <c r="L570">
        <v>4.5</v>
      </c>
      <c r="M570">
        <v>5</v>
      </c>
      <c r="N570">
        <v>0</v>
      </c>
      <c r="O570">
        <v>10</v>
      </c>
    </row>
    <row r="571" spans="1:15" x14ac:dyDescent="0.3">
      <c r="A571">
        <v>570</v>
      </c>
      <c r="B571" t="s">
        <v>33</v>
      </c>
      <c r="C571" t="s">
        <v>179</v>
      </c>
      <c r="D571" t="s">
        <v>32</v>
      </c>
      <c r="E571" s="1">
        <v>43950</v>
      </c>
      <c r="F571" s="2">
        <f ca="1">DATEDIF(EmpTable[[#This Row],[Start Date]],TODAY(),"Y")</f>
        <v>6</v>
      </c>
      <c r="G571" t="s">
        <v>50</v>
      </c>
      <c r="H571" t="s">
        <v>18</v>
      </c>
      <c r="I571" t="s">
        <v>42</v>
      </c>
      <c r="J571">
        <v>3244</v>
      </c>
      <c r="K571">
        <v>38928</v>
      </c>
      <c r="L571">
        <v>4.5</v>
      </c>
      <c r="M571">
        <v>0</v>
      </c>
      <c r="N571">
        <v>0</v>
      </c>
      <c r="O571">
        <v>78</v>
      </c>
    </row>
    <row r="572" spans="1:15" x14ac:dyDescent="0.3">
      <c r="A572">
        <v>571</v>
      </c>
      <c r="B572" t="s">
        <v>129</v>
      </c>
      <c r="C572" t="s">
        <v>778</v>
      </c>
      <c r="D572" t="s">
        <v>32</v>
      </c>
      <c r="E572" s="1">
        <v>42829</v>
      </c>
      <c r="F572" s="2">
        <f ca="1">DATEDIF(EmpTable[[#This Row],[Start Date]],TODAY(),"Y")</f>
        <v>9</v>
      </c>
      <c r="G572" t="s">
        <v>41</v>
      </c>
      <c r="H572" t="s">
        <v>18</v>
      </c>
      <c r="I572" t="s">
        <v>36</v>
      </c>
      <c r="J572">
        <v>2613</v>
      </c>
      <c r="K572">
        <v>31356</v>
      </c>
      <c r="L572">
        <v>4.5</v>
      </c>
      <c r="M572">
        <v>0</v>
      </c>
      <c r="N572">
        <v>1</v>
      </c>
      <c r="O572">
        <v>5</v>
      </c>
    </row>
    <row r="573" spans="1:15" x14ac:dyDescent="0.3">
      <c r="A573">
        <v>572</v>
      </c>
      <c r="B573" t="s">
        <v>33</v>
      </c>
      <c r="C573" t="s">
        <v>779</v>
      </c>
      <c r="D573" t="s">
        <v>32</v>
      </c>
      <c r="E573" s="1">
        <v>44184</v>
      </c>
      <c r="F573" s="2">
        <f ca="1">DATEDIF(EmpTable[[#This Row],[Start Date]],TODAY(),"Y")</f>
        <v>5</v>
      </c>
      <c r="G573" t="s">
        <v>28</v>
      </c>
      <c r="H573" t="s">
        <v>22</v>
      </c>
      <c r="I573" t="s">
        <v>42</v>
      </c>
      <c r="J573">
        <v>2263</v>
      </c>
      <c r="K573">
        <v>27156</v>
      </c>
      <c r="L573">
        <v>5</v>
      </c>
      <c r="M573">
        <v>0</v>
      </c>
      <c r="N573">
        <v>0</v>
      </c>
      <c r="O573">
        <v>9</v>
      </c>
    </row>
    <row r="574" spans="1:15" x14ac:dyDescent="0.3">
      <c r="A574">
        <v>573</v>
      </c>
      <c r="B574" t="s">
        <v>165</v>
      </c>
      <c r="C574" t="s">
        <v>698</v>
      </c>
      <c r="D574" t="s">
        <v>32</v>
      </c>
      <c r="E574" s="1">
        <v>42557</v>
      </c>
      <c r="F574" s="2">
        <f ca="1">DATEDIF(EmpTable[[#This Row],[Start Date]],TODAY(),"Y")</f>
        <v>10</v>
      </c>
      <c r="G574" t="s">
        <v>41</v>
      </c>
      <c r="H574" t="s">
        <v>18</v>
      </c>
      <c r="I574" t="s">
        <v>898</v>
      </c>
      <c r="J574">
        <v>3157</v>
      </c>
      <c r="K574">
        <v>37884</v>
      </c>
      <c r="L574">
        <v>5</v>
      </c>
      <c r="M574">
        <v>0</v>
      </c>
      <c r="N574">
        <v>0</v>
      </c>
      <c r="O574">
        <v>1</v>
      </c>
    </row>
    <row r="575" spans="1:15" x14ac:dyDescent="0.3">
      <c r="A575">
        <v>574</v>
      </c>
      <c r="B575" t="s">
        <v>33</v>
      </c>
      <c r="C575" t="s">
        <v>780</v>
      </c>
      <c r="D575" t="s">
        <v>32</v>
      </c>
      <c r="E575" s="1">
        <v>43166</v>
      </c>
      <c r="F575" s="2">
        <f ca="1">DATEDIF(EmpTable[[#This Row],[Start Date]],TODAY(),"Y")</f>
        <v>8</v>
      </c>
      <c r="G575" t="s">
        <v>41</v>
      </c>
      <c r="H575" t="s">
        <v>48</v>
      </c>
      <c r="I575" t="s">
        <v>60</v>
      </c>
      <c r="J575">
        <v>2519</v>
      </c>
      <c r="K575">
        <v>30228</v>
      </c>
      <c r="L575">
        <v>5</v>
      </c>
      <c r="M575">
        <v>2</v>
      </c>
      <c r="N575">
        <v>2</v>
      </c>
      <c r="O575">
        <v>10</v>
      </c>
    </row>
    <row r="576" spans="1:15" x14ac:dyDescent="0.3">
      <c r="A576">
        <v>575</v>
      </c>
      <c r="B576" t="s">
        <v>59</v>
      </c>
      <c r="C576" t="s">
        <v>781</v>
      </c>
      <c r="D576" t="s">
        <v>307</v>
      </c>
      <c r="E576" s="1">
        <v>43894</v>
      </c>
      <c r="F576" s="2">
        <f ca="1">DATEDIF(EmpTable[[#This Row],[Start Date]],TODAY(),"Y")</f>
        <v>6</v>
      </c>
      <c r="G576" t="s">
        <v>50</v>
      </c>
      <c r="H576" t="s">
        <v>29</v>
      </c>
      <c r="I576" t="s">
        <v>19</v>
      </c>
      <c r="J576">
        <v>3019</v>
      </c>
      <c r="K576">
        <v>36228</v>
      </c>
      <c r="L576">
        <v>4.5</v>
      </c>
      <c r="M576">
        <v>2</v>
      </c>
      <c r="N576">
        <v>0</v>
      </c>
      <c r="O576">
        <v>15</v>
      </c>
    </row>
    <row r="577" spans="1:15" x14ac:dyDescent="0.3">
      <c r="A577">
        <v>576</v>
      </c>
      <c r="B577" t="s">
        <v>782</v>
      </c>
      <c r="C577" t="s">
        <v>783</v>
      </c>
      <c r="D577" t="s">
        <v>307</v>
      </c>
      <c r="E577" s="1">
        <v>43577</v>
      </c>
      <c r="F577" s="2">
        <f ca="1">DATEDIF(EmpTable[[#This Row],[Start Date]],TODAY(),"Y")</f>
        <v>7</v>
      </c>
      <c r="G577" t="s">
        <v>28</v>
      </c>
      <c r="H577" t="s">
        <v>29</v>
      </c>
      <c r="I577" t="s">
        <v>898</v>
      </c>
      <c r="J577">
        <v>3048</v>
      </c>
      <c r="K577">
        <v>36576</v>
      </c>
      <c r="L577">
        <v>2</v>
      </c>
      <c r="M577">
        <v>3</v>
      </c>
      <c r="N577">
        <v>6</v>
      </c>
      <c r="O577">
        <v>6</v>
      </c>
    </row>
    <row r="578" spans="1:15" x14ac:dyDescent="0.3">
      <c r="A578">
        <v>577</v>
      </c>
      <c r="B578" t="s">
        <v>30</v>
      </c>
      <c r="C578" t="s">
        <v>784</v>
      </c>
      <c r="D578" t="s">
        <v>32</v>
      </c>
      <c r="E578" s="1">
        <v>43811</v>
      </c>
      <c r="F578" s="2">
        <f ca="1">DATEDIF(EmpTable[[#This Row],[Start Date]],TODAY(),"Y")</f>
        <v>6</v>
      </c>
      <c r="G578" t="s">
        <v>28</v>
      </c>
      <c r="H578" t="s">
        <v>18</v>
      </c>
      <c r="I578" t="s">
        <v>19</v>
      </c>
      <c r="J578">
        <v>1523</v>
      </c>
      <c r="K578">
        <v>18276</v>
      </c>
      <c r="L578">
        <v>4.5</v>
      </c>
      <c r="M578">
        <v>0</v>
      </c>
      <c r="N578">
        <v>4</v>
      </c>
      <c r="O578">
        <v>2</v>
      </c>
    </row>
    <row r="579" spans="1:15" x14ac:dyDescent="0.3">
      <c r="A579">
        <v>578</v>
      </c>
      <c r="B579" t="s">
        <v>785</v>
      </c>
      <c r="C579" t="s">
        <v>786</v>
      </c>
      <c r="D579" t="s">
        <v>32</v>
      </c>
      <c r="E579" s="1">
        <v>43505</v>
      </c>
      <c r="F579" s="2">
        <f ca="1">DATEDIF(EmpTable[[#This Row],[Start Date]],TODAY(),"Y")</f>
        <v>7</v>
      </c>
      <c r="G579" t="s">
        <v>58</v>
      </c>
      <c r="H579" t="s">
        <v>18</v>
      </c>
      <c r="I579" t="s">
        <v>898</v>
      </c>
      <c r="J579">
        <v>2197</v>
      </c>
      <c r="K579">
        <v>26364</v>
      </c>
      <c r="L579">
        <v>1</v>
      </c>
      <c r="M579">
        <v>1</v>
      </c>
      <c r="N579">
        <v>0</v>
      </c>
      <c r="O579">
        <v>8</v>
      </c>
    </row>
    <row r="580" spans="1:15" x14ac:dyDescent="0.3">
      <c r="A580">
        <v>579</v>
      </c>
      <c r="B580" t="s">
        <v>310</v>
      </c>
      <c r="C580" t="s">
        <v>787</v>
      </c>
      <c r="D580" t="s">
        <v>307</v>
      </c>
      <c r="E580" s="1">
        <v>43556</v>
      </c>
      <c r="F580" s="2">
        <f ca="1">DATEDIF(EmpTable[[#This Row],[Start Date]],TODAY(),"Y")</f>
        <v>7</v>
      </c>
      <c r="G580" t="s">
        <v>35</v>
      </c>
      <c r="H580" t="s">
        <v>18</v>
      </c>
      <c r="I580" t="s">
        <v>42</v>
      </c>
      <c r="J580">
        <v>1870</v>
      </c>
      <c r="K580">
        <v>22440</v>
      </c>
      <c r="L580">
        <v>4.5</v>
      </c>
      <c r="M580">
        <v>0</v>
      </c>
      <c r="N580">
        <v>3</v>
      </c>
      <c r="O580">
        <v>15</v>
      </c>
    </row>
    <row r="581" spans="1:15" x14ac:dyDescent="0.3">
      <c r="A581">
        <v>580</v>
      </c>
      <c r="B581" t="s">
        <v>33</v>
      </c>
      <c r="C581" t="s">
        <v>779</v>
      </c>
      <c r="D581" t="s">
        <v>32</v>
      </c>
      <c r="E581" s="1">
        <v>43176</v>
      </c>
      <c r="F581" s="2">
        <f ca="1">DATEDIF(EmpTable[[#This Row],[Start Date]],TODAY(),"Y")</f>
        <v>8</v>
      </c>
      <c r="G581" t="s">
        <v>28</v>
      </c>
      <c r="H581" t="s">
        <v>29</v>
      </c>
      <c r="I581" t="s">
        <v>42</v>
      </c>
      <c r="J581">
        <v>1058</v>
      </c>
      <c r="K581">
        <v>12696</v>
      </c>
      <c r="L581">
        <v>5</v>
      </c>
      <c r="M581">
        <v>0</v>
      </c>
      <c r="N581">
        <v>0</v>
      </c>
      <c r="O581">
        <v>10</v>
      </c>
    </row>
    <row r="582" spans="1:15" x14ac:dyDescent="0.3">
      <c r="A582">
        <v>581</v>
      </c>
      <c r="B582" t="s">
        <v>162</v>
      </c>
      <c r="C582" t="s">
        <v>788</v>
      </c>
      <c r="D582" t="s">
        <v>32</v>
      </c>
      <c r="E582" s="1">
        <v>43741</v>
      </c>
      <c r="F582" s="2">
        <f ca="1">DATEDIF(EmpTable[[#This Row],[Start Date]],TODAY(),"Y")</f>
        <v>6</v>
      </c>
      <c r="G582" t="s">
        <v>39</v>
      </c>
      <c r="H582" t="s">
        <v>18</v>
      </c>
      <c r="I582" t="s">
        <v>60</v>
      </c>
      <c r="J582">
        <v>1257</v>
      </c>
      <c r="K582">
        <v>15084</v>
      </c>
      <c r="L582">
        <v>4.5</v>
      </c>
      <c r="M582">
        <v>1</v>
      </c>
      <c r="N582">
        <v>3</v>
      </c>
      <c r="O582">
        <v>2</v>
      </c>
    </row>
    <row r="583" spans="1:15" x14ac:dyDescent="0.3">
      <c r="A583">
        <v>582</v>
      </c>
      <c r="B583" t="s">
        <v>789</v>
      </c>
      <c r="C583" t="s">
        <v>790</v>
      </c>
      <c r="D583" t="s">
        <v>307</v>
      </c>
      <c r="E583" s="1">
        <v>43825</v>
      </c>
      <c r="F583" s="2">
        <f ca="1">DATEDIF(EmpTable[[#This Row],[Start Date]],TODAY(),"Y")</f>
        <v>6</v>
      </c>
      <c r="G583" t="s">
        <v>35</v>
      </c>
      <c r="H583" t="s">
        <v>29</v>
      </c>
      <c r="I583" t="s">
        <v>42</v>
      </c>
      <c r="J583">
        <v>819</v>
      </c>
      <c r="K583">
        <v>9828</v>
      </c>
      <c r="L583">
        <v>4.5</v>
      </c>
      <c r="M583">
        <v>5</v>
      </c>
      <c r="N583">
        <v>0</v>
      </c>
      <c r="O583">
        <v>7</v>
      </c>
    </row>
    <row r="584" spans="1:15" x14ac:dyDescent="0.3">
      <c r="A584">
        <v>583</v>
      </c>
      <c r="B584" t="s">
        <v>207</v>
      </c>
      <c r="C584" t="s">
        <v>557</v>
      </c>
      <c r="D584" t="s">
        <v>32</v>
      </c>
      <c r="E584" s="1">
        <v>43775</v>
      </c>
      <c r="F584" s="2">
        <f ca="1">DATEDIF(EmpTable[[#This Row],[Start Date]],TODAY(),"Y")</f>
        <v>6</v>
      </c>
      <c r="G584" t="s">
        <v>353</v>
      </c>
      <c r="H584" t="s">
        <v>29</v>
      </c>
      <c r="I584" t="s">
        <v>36</v>
      </c>
      <c r="J584">
        <v>3068</v>
      </c>
      <c r="K584">
        <v>36816</v>
      </c>
      <c r="L584">
        <v>2</v>
      </c>
      <c r="M584">
        <v>4</v>
      </c>
      <c r="N584">
        <v>0</v>
      </c>
      <c r="O584">
        <v>8</v>
      </c>
    </row>
    <row r="585" spans="1:15" x14ac:dyDescent="0.3">
      <c r="A585">
        <v>584</v>
      </c>
      <c r="B585" t="s">
        <v>127</v>
      </c>
      <c r="C585" t="s">
        <v>791</v>
      </c>
      <c r="D585" t="s">
        <v>32</v>
      </c>
      <c r="E585" s="1">
        <v>43733</v>
      </c>
      <c r="F585" s="2">
        <f ca="1">DATEDIF(EmpTable[[#This Row],[Start Date]],TODAY(),"Y")</f>
        <v>6</v>
      </c>
      <c r="G585" t="s">
        <v>50</v>
      </c>
      <c r="H585" t="s">
        <v>48</v>
      </c>
      <c r="I585" t="s">
        <v>898</v>
      </c>
      <c r="J585">
        <v>1814</v>
      </c>
      <c r="K585">
        <v>21768</v>
      </c>
      <c r="L585">
        <v>3</v>
      </c>
      <c r="M585">
        <v>0</v>
      </c>
      <c r="N585">
        <v>0</v>
      </c>
      <c r="O585">
        <v>6</v>
      </c>
    </row>
    <row r="586" spans="1:15" x14ac:dyDescent="0.3">
      <c r="A586">
        <v>585</v>
      </c>
      <c r="B586" t="s">
        <v>357</v>
      </c>
      <c r="C586" t="s">
        <v>792</v>
      </c>
      <c r="D586" t="s">
        <v>32</v>
      </c>
      <c r="E586" s="1">
        <v>43605</v>
      </c>
      <c r="F586" s="2">
        <f ca="1">DATEDIF(EmpTable[[#This Row],[Start Date]],TODAY(),"Y")</f>
        <v>7</v>
      </c>
      <c r="G586" t="s">
        <v>17</v>
      </c>
      <c r="H586" t="s">
        <v>18</v>
      </c>
      <c r="I586" t="s">
        <v>898</v>
      </c>
      <c r="J586">
        <v>1076</v>
      </c>
      <c r="K586">
        <v>12912</v>
      </c>
      <c r="L586">
        <v>5</v>
      </c>
      <c r="M586">
        <v>1</v>
      </c>
      <c r="N586">
        <v>0</v>
      </c>
      <c r="O586">
        <v>4</v>
      </c>
    </row>
    <row r="587" spans="1:15" x14ac:dyDescent="0.3">
      <c r="A587">
        <v>586</v>
      </c>
      <c r="B587" t="s">
        <v>793</v>
      </c>
      <c r="C587" t="s">
        <v>794</v>
      </c>
      <c r="D587" t="s">
        <v>307</v>
      </c>
      <c r="E587" s="1">
        <v>42736</v>
      </c>
      <c r="F587" s="2">
        <f ca="1">DATEDIF(EmpTable[[#This Row],[Start Date]],TODAY(),"Y")</f>
        <v>9</v>
      </c>
      <c r="G587" t="s">
        <v>163</v>
      </c>
      <c r="H587" t="s">
        <v>18</v>
      </c>
      <c r="I587" t="s">
        <v>36</v>
      </c>
      <c r="J587">
        <v>3120</v>
      </c>
      <c r="K587">
        <v>37440</v>
      </c>
      <c r="L587">
        <v>3</v>
      </c>
      <c r="M587">
        <v>3</v>
      </c>
      <c r="N587">
        <v>0</v>
      </c>
      <c r="O587">
        <v>2</v>
      </c>
    </row>
    <row r="588" spans="1:15" x14ac:dyDescent="0.3">
      <c r="A588">
        <v>587</v>
      </c>
      <c r="B588" t="s">
        <v>99</v>
      </c>
      <c r="C588" t="s">
        <v>795</v>
      </c>
      <c r="D588" t="s">
        <v>307</v>
      </c>
      <c r="E588" s="1">
        <v>44072</v>
      </c>
      <c r="F588" s="2">
        <f ca="1">DATEDIF(EmpTable[[#This Row],[Start Date]],TODAY(),"Y")</f>
        <v>6</v>
      </c>
      <c r="G588" t="s">
        <v>17</v>
      </c>
      <c r="H588" t="s">
        <v>18</v>
      </c>
      <c r="I588" t="s">
        <v>36</v>
      </c>
      <c r="J588">
        <v>1359</v>
      </c>
      <c r="K588">
        <v>16308</v>
      </c>
      <c r="L588">
        <v>2</v>
      </c>
      <c r="M588">
        <v>0</v>
      </c>
      <c r="N588">
        <v>0</v>
      </c>
      <c r="O588">
        <v>8</v>
      </c>
    </row>
    <row r="589" spans="1:15" x14ac:dyDescent="0.3">
      <c r="A589">
        <v>588</v>
      </c>
      <c r="B589" t="s">
        <v>33</v>
      </c>
      <c r="C589" t="s">
        <v>796</v>
      </c>
      <c r="D589" t="s">
        <v>32</v>
      </c>
      <c r="E589" s="1">
        <v>43834</v>
      </c>
      <c r="F589" s="2">
        <f ca="1">DATEDIF(EmpTable[[#This Row],[Start Date]],TODAY(),"Y")</f>
        <v>6</v>
      </c>
      <c r="G589" t="s">
        <v>28</v>
      </c>
      <c r="H589" t="s">
        <v>18</v>
      </c>
      <c r="I589" t="s">
        <v>36</v>
      </c>
      <c r="J589">
        <v>3391</v>
      </c>
      <c r="K589">
        <v>40692</v>
      </c>
      <c r="L589">
        <v>1</v>
      </c>
      <c r="M589">
        <v>0</v>
      </c>
      <c r="N589">
        <v>3</v>
      </c>
      <c r="O589">
        <v>1</v>
      </c>
    </row>
    <row r="590" spans="1:15" x14ac:dyDescent="0.3">
      <c r="A590">
        <v>589</v>
      </c>
      <c r="B590" t="s">
        <v>797</v>
      </c>
      <c r="C590" t="s">
        <v>33</v>
      </c>
      <c r="D590" t="s">
        <v>307</v>
      </c>
      <c r="E590" s="1">
        <v>44054</v>
      </c>
      <c r="F590" s="2">
        <f ca="1">DATEDIF(EmpTable[[#This Row],[Start Date]],TODAY(),"Y")</f>
        <v>6</v>
      </c>
      <c r="G590" t="s">
        <v>50</v>
      </c>
      <c r="H590" t="s">
        <v>48</v>
      </c>
      <c r="I590" t="s">
        <v>42</v>
      </c>
      <c r="J590">
        <v>1892</v>
      </c>
      <c r="K590">
        <v>22704</v>
      </c>
      <c r="L590">
        <v>5</v>
      </c>
      <c r="M590">
        <v>0</v>
      </c>
      <c r="N590">
        <v>0</v>
      </c>
      <c r="O590">
        <v>6</v>
      </c>
    </row>
    <row r="591" spans="1:15" x14ac:dyDescent="0.3">
      <c r="A591">
        <v>590</v>
      </c>
      <c r="B591" t="s">
        <v>30</v>
      </c>
      <c r="C591" t="s">
        <v>798</v>
      </c>
      <c r="D591" t="s">
        <v>32</v>
      </c>
      <c r="E591" s="1">
        <v>43884</v>
      </c>
      <c r="F591" s="2">
        <f ca="1">DATEDIF(EmpTable[[#This Row],[Start Date]],TODAY(),"Y")</f>
        <v>6</v>
      </c>
      <c r="G591" t="s">
        <v>28</v>
      </c>
      <c r="H591" t="s">
        <v>18</v>
      </c>
      <c r="I591" t="s">
        <v>19</v>
      </c>
      <c r="J591">
        <v>2639</v>
      </c>
      <c r="K591">
        <v>31668</v>
      </c>
      <c r="L591">
        <v>1</v>
      </c>
      <c r="M591">
        <v>1</v>
      </c>
      <c r="N591">
        <v>0</v>
      </c>
      <c r="O591">
        <v>3</v>
      </c>
    </row>
    <row r="592" spans="1:15" x14ac:dyDescent="0.3">
      <c r="A592">
        <v>591</v>
      </c>
      <c r="B592" t="s">
        <v>334</v>
      </c>
      <c r="C592" t="s">
        <v>799</v>
      </c>
      <c r="D592" t="s">
        <v>307</v>
      </c>
      <c r="E592" s="1">
        <v>44039</v>
      </c>
      <c r="F592" s="2">
        <f ca="1">DATEDIF(EmpTable[[#This Row],[Start Date]],TODAY(),"Y")</f>
        <v>6</v>
      </c>
      <c r="G592" t="s">
        <v>53</v>
      </c>
      <c r="H592" t="s">
        <v>18</v>
      </c>
      <c r="I592" t="s">
        <v>36</v>
      </c>
      <c r="J592">
        <v>1580</v>
      </c>
      <c r="K592">
        <v>18960</v>
      </c>
      <c r="L592">
        <v>5</v>
      </c>
      <c r="M592">
        <v>2</v>
      </c>
      <c r="N592">
        <v>5</v>
      </c>
      <c r="O592">
        <v>6</v>
      </c>
    </row>
    <row r="593" spans="1:15" x14ac:dyDescent="0.3">
      <c r="A593">
        <v>592</v>
      </c>
      <c r="B593" t="s">
        <v>186</v>
      </c>
      <c r="C593" t="s">
        <v>800</v>
      </c>
      <c r="D593" t="s">
        <v>32</v>
      </c>
      <c r="E593" s="1">
        <v>43692</v>
      </c>
      <c r="F593" s="2">
        <f ca="1">DATEDIF(EmpTable[[#This Row],[Start Date]],TODAY(),"Y")</f>
        <v>7</v>
      </c>
      <c r="G593" t="s">
        <v>17</v>
      </c>
      <c r="H593" t="s">
        <v>18</v>
      </c>
      <c r="I593" t="s">
        <v>36</v>
      </c>
      <c r="J593">
        <v>2186</v>
      </c>
      <c r="K593">
        <v>26232</v>
      </c>
      <c r="L593">
        <v>3</v>
      </c>
      <c r="M593">
        <v>0</v>
      </c>
      <c r="N593">
        <v>0</v>
      </c>
      <c r="O593">
        <v>4</v>
      </c>
    </row>
    <row r="594" spans="1:15" x14ac:dyDescent="0.3">
      <c r="A594">
        <v>593</v>
      </c>
      <c r="B594" t="s">
        <v>33</v>
      </c>
      <c r="C594" t="s">
        <v>721</v>
      </c>
      <c r="D594" t="s">
        <v>32</v>
      </c>
      <c r="E594" s="1">
        <v>43684</v>
      </c>
      <c r="F594" s="2">
        <f ca="1">DATEDIF(EmpTable[[#This Row],[Start Date]],TODAY(),"Y")</f>
        <v>7</v>
      </c>
      <c r="G594" t="s">
        <v>53</v>
      </c>
      <c r="H594" t="s">
        <v>29</v>
      </c>
      <c r="I594" t="s">
        <v>19</v>
      </c>
      <c r="J594">
        <v>1574</v>
      </c>
      <c r="K594">
        <v>18888</v>
      </c>
      <c r="L594">
        <v>2</v>
      </c>
      <c r="M594">
        <v>0</v>
      </c>
      <c r="N594">
        <v>0</v>
      </c>
      <c r="O594">
        <v>6</v>
      </c>
    </row>
    <row r="595" spans="1:15" x14ac:dyDescent="0.3">
      <c r="A595">
        <v>594</v>
      </c>
      <c r="B595" t="s">
        <v>718</v>
      </c>
      <c r="C595" t="s">
        <v>801</v>
      </c>
      <c r="D595" t="s">
        <v>307</v>
      </c>
      <c r="E595" s="1">
        <v>43154</v>
      </c>
      <c r="F595" s="2">
        <f ca="1">DATEDIF(EmpTable[[#This Row],[Start Date]],TODAY(),"Y")</f>
        <v>8</v>
      </c>
      <c r="G595" t="s">
        <v>41</v>
      </c>
      <c r="H595" t="s">
        <v>22</v>
      </c>
      <c r="I595" t="s">
        <v>36</v>
      </c>
      <c r="J595">
        <v>2013</v>
      </c>
      <c r="K595">
        <v>24156</v>
      </c>
      <c r="L595">
        <v>4.5</v>
      </c>
      <c r="M595">
        <v>6</v>
      </c>
      <c r="N595">
        <v>0</v>
      </c>
      <c r="O595">
        <v>8</v>
      </c>
    </row>
    <row r="596" spans="1:15" x14ac:dyDescent="0.3">
      <c r="A596">
        <v>595</v>
      </c>
      <c r="B596" t="s">
        <v>419</v>
      </c>
      <c r="C596" t="s">
        <v>802</v>
      </c>
      <c r="D596" t="s">
        <v>307</v>
      </c>
      <c r="E596" s="1">
        <v>43835</v>
      </c>
      <c r="F596" s="2">
        <f ca="1">DATEDIF(EmpTable[[#This Row],[Start Date]],TODAY(),"Y")</f>
        <v>6</v>
      </c>
      <c r="G596" t="s">
        <v>50</v>
      </c>
      <c r="H596" t="s">
        <v>18</v>
      </c>
      <c r="I596" t="s">
        <v>36</v>
      </c>
      <c r="J596">
        <v>2075</v>
      </c>
      <c r="K596">
        <v>24900</v>
      </c>
      <c r="L596">
        <v>2</v>
      </c>
      <c r="M596">
        <v>0</v>
      </c>
      <c r="N596">
        <v>0</v>
      </c>
      <c r="O596">
        <v>5</v>
      </c>
    </row>
    <row r="597" spans="1:15" x14ac:dyDescent="0.3">
      <c r="A597">
        <v>596</v>
      </c>
      <c r="B597" t="s">
        <v>122</v>
      </c>
      <c r="C597" t="s">
        <v>803</v>
      </c>
      <c r="D597" t="s">
        <v>307</v>
      </c>
      <c r="E597" s="1">
        <v>43225</v>
      </c>
      <c r="F597" s="2">
        <f ca="1">DATEDIF(EmpTable[[#This Row],[Start Date]],TODAY(),"Y")</f>
        <v>8</v>
      </c>
      <c r="G597" t="s">
        <v>28</v>
      </c>
      <c r="H597" t="s">
        <v>18</v>
      </c>
      <c r="I597" t="s">
        <v>36</v>
      </c>
      <c r="J597">
        <v>1372</v>
      </c>
      <c r="K597">
        <v>16464</v>
      </c>
      <c r="L597">
        <v>1</v>
      </c>
      <c r="M597">
        <v>0</v>
      </c>
      <c r="N597">
        <v>3</v>
      </c>
      <c r="O597">
        <v>2</v>
      </c>
    </row>
    <row r="598" spans="1:15" x14ac:dyDescent="0.3">
      <c r="A598">
        <v>597</v>
      </c>
      <c r="B598" t="s">
        <v>170</v>
      </c>
      <c r="C598" t="s">
        <v>804</v>
      </c>
      <c r="D598" t="s">
        <v>32</v>
      </c>
      <c r="E598" s="1">
        <v>43315</v>
      </c>
      <c r="F598" s="2">
        <f ca="1">DATEDIF(EmpTable[[#This Row],[Start Date]],TODAY(),"Y")</f>
        <v>8</v>
      </c>
      <c r="G598" t="s">
        <v>53</v>
      </c>
      <c r="H598" t="s">
        <v>18</v>
      </c>
      <c r="I598" t="s">
        <v>42</v>
      </c>
      <c r="J598">
        <v>2026</v>
      </c>
      <c r="K598">
        <v>24312</v>
      </c>
      <c r="L598">
        <v>4.5</v>
      </c>
      <c r="M598">
        <v>0</v>
      </c>
      <c r="N598">
        <v>0</v>
      </c>
      <c r="O598">
        <v>7</v>
      </c>
    </row>
    <row r="599" spans="1:15" x14ac:dyDescent="0.3">
      <c r="A599">
        <v>598</v>
      </c>
      <c r="B599" t="s">
        <v>805</v>
      </c>
      <c r="C599" t="s">
        <v>806</v>
      </c>
      <c r="D599" t="s">
        <v>32</v>
      </c>
      <c r="E599" s="1">
        <v>42854</v>
      </c>
      <c r="F599" s="2">
        <f ca="1">DATEDIF(EmpTable[[#This Row],[Start Date]],TODAY(),"Y")</f>
        <v>9</v>
      </c>
      <c r="G599" t="s">
        <v>28</v>
      </c>
      <c r="H599" t="s">
        <v>29</v>
      </c>
      <c r="I599" t="s">
        <v>36</v>
      </c>
      <c r="J599">
        <v>1351</v>
      </c>
      <c r="K599">
        <v>16212</v>
      </c>
      <c r="L599">
        <v>2</v>
      </c>
      <c r="M599">
        <v>0</v>
      </c>
      <c r="N599">
        <v>0</v>
      </c>
      <c r="O599">
        <v>8</v>
      </c>
    </row>
    <row r="600" spans="1:15" x14ac:dyDescent="0.3">
      <c r="A600">
        <v>599</v>
      </c>
      <c r="B600" t="s">
        <v>186</v>
      </c>
      <c r="C600" t="s">
        <v>807</v>
      </c>
      <c r="D600" t="s">
        <v>32</v>
      </c>
      <c r="E600" s="1">
        <v>42884</v>
      </c>
      <c r="F600" s="2">
        <f ca="1">DATEDIF(EmpTable[[#This Row],[Start Date]],TODAY(),"Y")</f>
        <v>9</v>
      </c>
      <c r="G600" t="s">
        <v>17</v>
      </c>
      <c r="H600" t="s">
        <v>18</v>
      </c>
      <c r="I600" t="s">
        <v>19</v>
      </c>
      <c r="J600">
        <v>1111</v>
      </c>
      <c r="K600">
        <v>13332</v>
      </c>
      <c r="L600">
        <v>1</v>
      </c>
      <c r="M600">
        <v>3</v>
      </c>
      <c r="N600">
        <v>0</v>
      </c>
      <c r="O600">
        <v>6</v>
      </c>
    </row>
    <row r="601" spans="1:15" x14ac:dyDescent="0.3">
      <c r="A601">
        <v>600</v>
      </c>
      <c r="B601" t="s">
        <v>49</v>
      </c>
      <c r="C601" t="s">
        <v>808</v>
      </c>
      <c r="D601" t="s">
        <v>32</v>
      </c>
      <c r="E601" s="1">
        <v>44016</v>
      </c>
      <c r="F601" s="2">
        <f ca="1">DATEDIF(EmpTable[[#This Row],[Start Date]],TODAY(),"Y")</f>
        <v>6</v>
      </c>
      <c r="G601" t="s">
        <v>17</v>
      </c>
      <c r="H601" t="s">
        <v>18</v>
      </c>
      <c r="I601" t="s">
        <v>36</v>
      </c>
      <c r="J601">
        <v>1554</v>
      </c>
      <c r="K601">
        <v>18648</v>
      </c>
      <c r="L601">
        <v>5</v>
      </c>
      <c r="M601">
        <v>6</v>
      </c>
      <c r="N601">
        <v>5</v>
      </c>
      <c r="O601">
        <v>8</v>
      </c>
    </row>
    <row r="602" spans="1:15" x14ac:dyDescent="0.3">
      <c r="A602">
        <v>601</v>
      </c>
      <c r="B602" t="s">
        <v>684</v>
      </c>
      <c r="C602" t="s">
        <v>809</v>
      </c>
      <c r="D602" t="s">
        <v>32</v>
      </c>
      <c r="E602" s="1">
        <v>43758</v>
      </c>
      <c r="F602" s="2">
        <f ca="1">DATEDIF(EmpTable[[#This Row],[Start Date]],TODAY(),"Y")</f>
        <v>6</v>
      </c>
      <c r="G602" t="s">
        <v>77</v>
      </c>
      <c r="H602" t="s">
        <v>22</v>
      </c>
      <c r="I602" t="s">
        <v>19</v>
      </c>
      <c r="J602">
        <v>3057</v>
      </c>
      <c r="K602">
        <v>36684</v>
      </c>
      <c r="L602">
        <v>5</v>
      </c>
      <c r="M602">
        <v>0</v>
      </c>
      <c r="N602">
        <v>0</v>
      </c>
      <c r="O602">
        <v>0</v>
      </c>
    </row>
    <row r="603" spans="1:15" x14ac:dyDescent="0.3">
      <c r="A603">
        <v>602</v>
      </c>
      <c r="B603" t="s">
        <v>357</v>
      </c>
      <c r="C603" t="s">
        <v>810</v>
      </c>
      <c r="D603" t="s">
        <v>32</v>
      </c>
      <c r="E603" s="1">
        <v>43453</v>
      </c>
      <c r="F603" s="2">
        <f ca="1">DATEDIF(EmpTable[[#This Row],[Start Date]],TODAY(),"Y")</f>
        <v>7</v>
      </c>
      <c r="G603" t="s">
        <v>50</v>
      </c>
      <c r="H603" t="s">
        <v>22</v>
      </c>
      <c r="I603" t="s">
        <v>60</v>
      </c>
      <c r="J603">
        <v>1733</v>
      </c>
      <c r="K603">
        <v>20796</v>
      </c>
      <c r="L603">
        <v>3</v>
      </c>
      <c r="M603">
        <v>0</v>
      </c>
      <c r="N603">
        <v>0</v>
      </c>
      <c r="O603">
        <v>3</v>
      </c>
    </row>
    <row r="604" spans="1:15" x14ac:dyDescent="0.3">
      <c r="A604">
        <v>603</v>
      </c>
      <c r="B604" t="s">
        <v>30</v>
      </c>
      <c r="C604" t="s">
        <v>811</v>
      </c>
      <c r="D604" t="s">
        <v>32</v>
      </c>
      <c r="E604" s="1">
        <v>42393</v>
      </c>
      <c r="F604" s="2">
        <f ca="1">DATEDIF(EmpTable[[#This Row],[Start Date]],TODAY(),"Y")</f>
        <v>10</v>
      </c>
      <c r="G604" t="s">
        <v>163</v>
      </c>
      <c r="H604" t="s">
        <v>18</v>
      </c>
      <c r="I604" t="s">
        <v>42</v>
      </c>
      <c r="J604">
        <v>1511</v>
      </c>
      <c r="K604">
        <v>18132</v>
      </c>
      <c r="L604">
        <v>5</v>
      </c>
      <c r="M604">
        <v>0</v>
      </c>
      <c r="N604">
        <v>0</v>
      </c>
      <c r="O604">
        <v>2</v>
      </c>
    </row>
    <row r="605" spans="1:15" x14ac:dyDescent="0.3">
      <c r="A605">
        <v>604</v>
      </c>
      <c r="B605" t="s">
        <v>30</v>
      </c>
      <c r="C605" t="s">
        <v>113</v>
      </c>
      <c r="D605" t="s">
        <v>32</v>
      </c>
      <c r="E605" s="1">
        <v>42737</v>
      </c>
      <c r="F605" s="2">
        <f ca="1">DATEDIF(EmpTable[[#This Row],[Start Date]],TODAY(),"Y")</f>
        <v>9</v>
      </c>
      <c r="G605" t="s">
        <v>39</v>
      </c>
      <c r="H605" t="s">
        <v>18</v>
      </c>
      <c r="I605" t="s">
        <v>42</v>
      </c>
      <c r="J605">
        <v>2542</v>
      </c>
      <c r="K605">
        <v>30504</v>
      </c>
      <c r="L605">
        <v>5</v>
      </c>
      <c r="M605">
        <v>0</v>
      </c>
      <c r="N605">
        <v>6</v>
      </c>
      <c r="O605">
        <v>6</v>
      </c>
    </row>
    <row r="606" spans="1:15" x14ac:dyDescent="0.3">
      <c r="A606">
        <v>605</v>
      </c>
      <c r="B606" t="s">
        <v>812</v>
      </c>
      <c r="C606" t="s">
        <v>685</v>
      </c>
      <c r="D606" t="s">
        <v>307</v>
      </c>
      <c r="E606" s="1">
        <v>43830</v>
      </c>
      <c r="F606" s="2">
        <f ca="1">DATEDIF(EmpTable[[#This Row],[Start Date]],TODAY(),"Y")</f>
        <v>6</v>
      </c>
      <c r="G606" t="s">
        <v>17</v>
      </c>
      <c r="H606" t="s">
        <v>18</v>
      </c>
      <c r="I606" t="s">
        <v>36</v>
      </c>
      <c r="J606">
        <v>1573</v>
      </c>
      <c r="K606">
        <v>18876</v>
      </c>
      <c r="L606">
        <v>1</v>
      </c>
      <c r="M606">
        <v>2</v>
      </c>
      <c r="N606">
        <v>0</v>
      </c>
      <c r="O606">
        <v>3</v>
      </c>
    </row>
    <row r="607" spans="1:15" x14ac:dyDescent="0.3">
      <c r="A607">
        <v>606</v>
      </c>
      <c r="B607" t="s">
        <v>33</v>
      </c>
      <c r="C607" t="s">
        <v>813</v>
      </c>
      <c r="D607" t="s">
        <v>32</v>
      </c>
      <c r="E607" s="1">
        <v>43010</v>
      </c>
      <c r="F607" s="2">
        <f ca="1">DATEDIF(EmpTable[[#This Row],[Start Date]],TODAY(),"Y")</f>
        <v>8</v>
      </c>
      <c r="G607" t="s">
        <v>28</v>
      </c>
      <c r="H607" t="s">
        <v>48</v>
      </c>
      <c r="I607" t="s">
        <v>42</v>
      </c>
      <c r="J607">
        <v>2604</v>
      </c>
      <c r="K607">
        <v>31248</v>
      </c>
      <c r="L607">
        <v>3</v>
      </c>
      <c r="M607">
        <v>0</v>
      </c>
      <c r="N607">
        <v>0</v>
      </c>
      <c r="O607">
        <v>1</v>
      </c>
    </row>
    <row r="608" spans="1:15" x14ac:dyDescent="0.3">
      <c r="A608">
        <v>607</v>
      </c>
      <c r="B608" t="s">
        <v>814</v>
      </c>
      <c r="C608" t="s">
        <v>815</v>
      </c>
      <c r="D608" t="s">
        <v>307</v>
      </c>
      <c r="E608" s="1">
        <v>43592</v>
      </c>
      <c r="F608" s="2">
        <f ca="1">DATEDIF(EmpTable[[#This Row],[Start Date]],TODAY(),"Y")</f>
        <v>7</v>
      </c>
      <c r="G608" t="s">
        <v>77</v>
      </c>
      <c r="H608" t="s">
        <v>48</v>
      </c>
      <c r="I608" t="s">
        <v>19</v>
      </c>
      <c r="J608">
        <v>3152</v>
      </c>
      <c r="K608">
        <v>37824</v>
      </c>
      <c r="L608">
        <v>5</v>
      </c>
      <c r="M608">
        <v>0</v>
      </c>
      <c r="N608">
        <v>0</v>
      </c>
      <c r="O608">
        <v>8</v>
      </c>
    </row>
    <row r="609" spans="1:15" x14ac:dyDescent="0.3">
      <c r="A609">
        <v>608</v>
      </c>
      <c r="B609" t="s">
        <v>33</v>
      </c>
      <c r="C609" t="s">
        <v>167</v>
      </c>
      <c r="D609" t="s">
        <v>32</v>
      </c>
      <c r="E609" s="1">
        <v>44097</v>
      </c>
      <c r="F609" s="2">
        <f ca="1">DATEDIF(EmpTable[[#This Row],[Start Date]],TODAY(),"Y")</f>
        <v>5</v>
      </c>
      <c r="G609" t="s">
        <v>41</v>
      </c>
      <c r="H609" t="s">
        <v>29</v>
      </c>
      <c r="I609" t="s">
        <v>898</v>
      </c>
      <c r="J609">
        <v>2655</v>
      </c>
      <c r="K609">
        <v>31860</v>
      </c>
      <c r="L609">
        <v>5</v>
      </c>
      <c r="M609">
        <v>0</v>
      </c>
      <c r="N609">
        <v>0</v>
      </c>
      <c r="O609">
        <v>6</v>
      </c>
    </row>
    <row r="610" spans="1:15" x14ac:dyDescent="0.3">
      <c r="A610">
        <v>609</v>
      </c>
      <c r="B610" t="s">
        <v>33</v>
      </c>
      <c r="C610" t="s">
        <v>816</v>
      </c>
      <c r="D610" t="s">
        <v>32</v>
      </c>
      <c r="E610" s="1">
        <v>42412</v>
      </c>
      <c r="F610" s="2">
        <f ca="1">DATEDIF(EmpTable[[#This Row],[Start Date]],TODAY(),"Y")</f>
        <v>10</v>
      </c>
      <c r="G610" t="s">
        <v>73</v>
      </c>
      <c r="H610" t="s">
        <v>18</v>
      </c>
      <c r="I610" t="s">
        <v>60</v>
      </c>
      <c r="J610">
        <v>1405</v>
      </c>
      <c r="K610">
        <v>16860</v>
      </c>
      <c r="L610">
        <v>5</v>
      </c>
      <c r="M610">
        <v>6</v>
      </c>
      <c r="N610">
        <v>0</v>
      </c>
      <c r="O610">
        <v>10</v>
      </c>
    </row>
    <row r="611" spans="1:15" x14ac:dyDescent="0.3">
      <c r="A611">
        <v>610</v>
      </c>
      <c r="B611" t="s">
        <v>186</v>
      </c>
      <c r="C611" t="s">
        <v>817</v>
      </c>
      <c r="D611" t="s">
        <v>32</v>
      </c>
      <c r="E611" s="1">
        <v>43234</v>
      </c>
      <c r="F611" s="2">
        <f ca="1">DATEDIF(EmpTable[[#This Row],[Start Date]],TODAY(),"Y")</f>
        <v>8</v>
      </c>
      <c r="G611" t="s">
        <v>28</v>
      </c>
      <c r="H611" t="s">
        <v>18</v>
      </c>
      <c r="I611" t="s">
        <v>36</v>
      </c>
      <c r="J611">
        <v>3100</v>
      </c>
      <c r="K611">
        <v>37200</v>
      </c>
      <c r="L611">
        <v>5</v>
      </c>
      <c r="M611">
        <v>0</v>
      </c>
      <c r="N611">
        <v>0</v>
      </c>
      <c r="O611">
        <v>7</v>
      </c>
    </row>
    <row r="612" spans="1:15" x14ac:dyDescent="0.3">
      <c r="A612">
        <v>611</v>
      </c>
      <c r="B612" t="s">
        <v>206</v>
      </c>
      <c r="C612" t="s">
        <v>818</v>
      </c>
      <c r="D612" t="s">
        <v>307</v>
      </c>
      <c r="E612" s="1">
        <v>42947</v>
      </c>
      <c r="F612" s="2">
        <f ca="1">DATEDIF(EmpTable[[#This Row],[Start Date]],TODAY(),"Y")</f>
        <v>9</v>
      </c>
      <c r="G612" t="s">
        <v>28</v>
      </c>
      <c r="H612" t="s">
        <v>29</v>
      </c>
      <c r="I612" t="s">
        <v>898</v>
      </c>
      <c r="J612">
        <v>2729</v>
      </c>
      <c r="K612">
        <v>32748</v>
      </c>
      <c r="L612">
        <v>4.5</v>
      </c>
      <c r="M612">
        <v>0</v>
      </c>
      <c r="N612">
        <v>0</v>
      </c>
      <c r="O612">
        <v>6</v>
      </c>
    </row>
    <row r="613" spans="1:15" x14ac:dyDescent="0.3">
      <c r="A613">
        <v>612</v>
      </c>
      <c r="B613" t="s">
        <v>186</v>
      </c>
      <c r="C613" t="s">
        <v>350</v>
      </c>
      <c r="D613" t="s">
        <v>32</v>
      </c>
      <c r="E613" s="1">
        <v>43290</v>
      </c>
      <c r="F613" s="2">
        <f ca="1">DATEDIF(EmpTable[[#This Row],[Start Date]],TODAY(),"Y")</f>
        <v>8</v>
      </c>
      <c r="G613" t="s">
        <v>58</v>
      </c>
      <c r="H613" t="s">
        <v>18</v>
      </c>
      <c r="I613" t="s">
        <v>42</v>
      </c>
      <c r="J613">
        <v>1467</v>
      </c>
      <c r="K613">
        <v>17604</v>
      </c>
      <c r="L613">
        <v>5</v>
      </c>
      <c r="M613">
        <v>0</v>
      </c>
      <c r="N613">
        <v>0</v>
      </c>
      <c r="O613">
        <v>7</v>
      </c>
    </row>
    <row r="614" spans="1:15" x14ac:dyDescent="0.3">
      <c r="A614">
        <v>613</v>
      </c>
      <c r="B614" t="s">
        <v>37</v>
      </c>
      <c r="C614" t="s">
        <v>819</v>
      </c>
      <c r="D614" t="s">
        <v>307</v>
      </c>
      <c r="E614" s="1">
        <v>42791</v>
      </c>
      <c r="F614" s="2">
        <f ca="1">DATEDIF(EmpTable[[#This Row],[Start Date]],TODAY(),"Y")</f>
        <v>9</v>
      </c>
      <c r="G614" t="s">
        <v>28</v>
      </c>
      <c r="H614" t="s">
        <v>22</v>
      </c>
      <c r="I614" t="s">
        <v>42</v>
      </c>
      <c r="J614">
        <v>1612</v>
      </c>
      <c r="K614">
        <v>19344</v>
      </c>
      <c r="L614">
        <v>5</v>
      </c>
      <c r="M614">
        <v>0</v>
      </c>
      <c r="N614">
        <v>0</v>
      </c>
      <c r="O614">
        <v>4</v>
      </c>
    </row>
    <row r="615" spans="1:15" x14ac:dyDescent="0.3">
      <c r="A615">
        <v>614</v>
      </c>
      <c r="B615" t="s">
        <v>33</v>
      </c>
      <c r="C615" t="s">
        <v>820</v>
      </c>
      <c r="D615" t="s">
        <v>32</v>
      </c>
      <c r="E615" s="1">
        <v>43574</v>
      </c>
      <c r="F615" s="2">
        <f ca="1">DATEDIF(EmpTable[[#This Row],[Start Date]],TODAY(),"Y")</f>
        <v>7</v>
      </c>
      <c r="G615" t="s">
        <v>17</v>
      </c>
      <c r="H615" t="s">
        <v>18</v>
      </c>
      <c r="I615" t="s">
        <v>42</v>
      </c>
      <c r="J615">
        <v>2901</v>
      </c>
      <c r="K615">
        <v>34812</v>
      </c>
      <c r="L615">
        <v>5</v>
      </c>
      <c r="M615">
        <v>0</v>
      </c>
      <c r="N615">
        <v>0</v>
      </c>
      <c r="O615">
        <v>6</v>
      </c>
    </row>
    <row r="616" spans="1:15" x14ac:dyDescent="0.3">
      <c r="A616">
        <v>615</v>
      </c>
      <c r="B616" t="s">
        <v>116</v>
      </c>
      <c r="C616" t="s">
        <v>821</v>
      </c>
      <c r="D616" t="s">
        <v>32</v>
      </c>
      <c r="E616" s="1">
        <v>42952</v>
      </c>
      <c r="F616" s="2">
        <f ca="1">DATEDIF(EmpTable[[#This Row],[Start Date]],TODAY(),"Y")</f>
        <v>9</v>
      </c>
      <c r="G616" t="s">
        <v>163</v>
      </c>
      <c r="H616" t="s">
        <v>18</v>
      </c>
      <c r="I616" t="s">
        <v>42</v>
      </c>
      <c r="J616">
        <v>1999</v>
      </c>
      <c r="K616">
        <v>23988</v>
      </c>
      <c r="L616">
        <v>3</v>
      </c>
      <c r="M616">
        <v>0</v>
      </c>
      <c r="N616">
        <v>0</v>
      </c>
      <c r="O616">
        <v>4</v>
      </c>
    </row>
    <row r="617" spans="1:15" x14ac:dyDescent="0.3">
      <c r="A617">
        <v>616</v>
      </c>
      <c r="B617" t="s">
        <v>184</v>
      </c>
      <c r="C617" t="s">
        <v>167</v>
      </c>
      <c r="D617" t="s">
        <v>307</v>
      </c>
      <c r="E617" s="1">
        <v>43239</v>
      </c>
      <c r="F617" s="2">
        <f ca="1">DATEDIF(EmpTable[[#This Row],[Start Date]],TODAY(),"Y")</f>
        <v>8</v>
      </c>
      <c r="G617" t="s">
        <v>41</v>
      </c>
      <c r="H617" t="s">
        <v>22</v>
      </c>
      <c r="I617" t="s">
        <v>36</v>
      </c>
      <c r="J617">
        <v>705</v>
      </c>
      <c r="K617">
        <v>8460</v>
      </c>
      <c r="L617">
        <v>3</v>
      </c>
      <c r="M617">
        <v>6</v>
      </c>
      <c r="N617">
        <v>0</v>
      </c>
      <c r="O617">
        <v>8</v>
      </c>
    </row>
    <row r="618" spans="1:15" x14ac:dyDescent="0.3">
      <c r="A618">
        <v>617</v>
      </c>
      <c r="B618" t="s">
        <v>89</v>
      </c>
      <c r="C618" t="s">
        <v>822</v>
      </c>
      <c r="D618" t="s">
        <v>307</v>
      </c>
      <c r="E618" s="1">
        <v>43737</v>
      </c>
      <c r="F618" s="2">
        <f ca="1">DATEDIF(EmpTable[[#This Row],[Start Date]],TODAY(),"Y")</f>
        <v>6</v>
      </c>
      <c r="G618" t="s">
        <v>39</v>
      </c>
      <c r="H618" t="s">
        <v>18</v>
      </c>
      <c r="I618" t="s">
        <v>36</v>
      </c>
      <c r="J618">
        <v>3311</v>
      </c>
      <c r="K618">
        <v>39732</v>
      </c>
      <c r="L618">
        <v>4.5</v>
      </c>
      <c r="M618">
        <v>0</v>
      </c>
      <c r="N618">
        <v>0</v>
      </c>
      <c r="O618">
        <v>1</v>
      </c>
    </row>
    <row r="619" spans="1:15" x14ac:dyDescent="0.3">
      <c r="A619">
        <v>618</v>
      </c>
      <c r="B619" t="s">
        <v>539</v>
      </c>
      <c r="C619" t="s">
        <v>823</v>
      </c>
      <c r="D619" t="s">
        <v>307</v>
      </c>
      <c r="E619" s="1">
        <v>43107</v>
      </c>
      <c r="F619" s="2">
        <f ca="1">DATEDIF(EmpTable[[#This Row],[Start Date]],TODAY(),"Y")</f>
        <v>8</v>
      </c>
      <c r="G619" t="s">
        <v>28</v>
      </c>
      <c r="H619" t="s">
        <v>18</v>
      </c>
      <c r="I619" t="s">
        <v>19</v>
      </c>
      <c r="J619">
        <v>2516</v>
      </c>
      <c r="K619">
        <v>30192</v>
      </c>
      <c r="L619">
        <v>3</v>
      </c>
      <c r="M619">
        <v>6</v>
      </c>
      <c r="N619">
        <v>0</v>
      </c>
      <c r="O619">
        <v>3</v>
      </c>
    </row>
    <row r="620" spans="1:15" x14ac:dyDescent="0.3">
      <c r="A620">
        <v>619</v>
      </c>
      <c r="B620" t="s">
        <v>824</v>
      </c>
      <c r="C620" t="s">
        <v>825</v>
      </c>
      <c r="D620" t="s">
        <v>32</v>
      </c>
      <c r="E620" s="1">
        <v>43742</v>
      </c>
      <c r="F620" s="2">
        <f ca="1">DATEDIF(EmpTable[[#This Row],[Start Date]],TODAY(),"Y")</f>
        <v>6</v>
      </c>
      <c r="G620" t="s">
        <v>41</v>
      </c>
      <c r="H620" t="s">
        <v>22</v>
      </c>
      <c r="I620" t="s">
        <v>36</v>
      </c>
      <c r="J620">
        <v>2000</v>
      </c>
      <c r="K620">
        <v>24000</v>
      </c>
      <c r="L620">
        <v>3</v>
      </c>
      <c r="M620">
        <v>1</v>
      </c>
      <c r="N620">
        <v>0</v>
      </c>
      <c r="O620">
        <v>0</v>
      </c>
    </row>
    <row r="621" spans="1:15" x14ac:dyDescent="0.3">
      <c r="A621">
        <v>620</v>
      </c>
      <c r="B621" t="s">
        <v>489</v>
      </c>
      <c r="C621" t="s">
        <v>826</v>
      </c>
      <c r="D621" t="s">
        <v>307</v>
      </c>
      <c r="E621" s="1">
        <v>43735</v>
      </c>
      <c r="F621" s="2">
        <f ca="1">DATEDIF(EmpTable[[#This Row],[Start Date]],TODAY(),"Y")</f>
        <v>6</v>
      </c>
      <c r="G621" t="s">
        <v>53</v>
      </c>
      <c r="H621" t="s">
        <v>29</v>
      </c>
      <c r="I621" t="s">
        <v>60</v>
      </c>
      <c r="J621">
        <v>2860</v>
      </c>
      <c r="K621">
        <v>34320</v>
      </c>
      <c r="L621">
        <v>3</v>
      </c>
      <c r="M621">
        <v>0</v>
      </c>
      <c r="N621">
        <v>6</v>
      </c>
      <c r="O621">
        <v>7</v>
      </c>
    </row>
    <row r="622" spans="1:15" x14ac:dyDescent="0.3">
      <c r="A622">
        <v>621</v>
      </c>
      <c r="B622" t="s">
        <v>146</v>
      </c>
      <c r="C622" t="s">
        <v>827</v>
      </c>
      <c r="D622" t="s">
        <v>32</v>
      </c>
      <c r="E622" s="1">
        <v>43557</v>
      </c>
      <c r="F622" s="2">
        <f ca="1">DATEDIF(EmpTable[[#This Row],[Start Date]],TODAY(),"Y")</f>
        <v>7</v>
      </c>
      <c r="G622" t="s">
        <v>17</v>
      </c>
      <c r="H622" t="s">
        <v>18</v>
      </c>
      <c r="I622" t="s">
        <v>898</v>
      </c>
      <c r="J622">
        <v>943</v>
      </c>
      <c r="K622">
        <v>11316</v>
      </c>
      <c r="L622">
        <v>4.5</v>
      </c>
      <c r="M622">
        <v>0</v>
      </c>
      <c r="N622">
        <v>0</v>
      </c>
      <c r="O622">
        <v>1</v>
      </c>
    </row>
    <row r="623" spans="1:15" x14ac:dyDescent="0.3">
      <c r="A623">
        <v>622</v>
      </c>
      <c r="B623" t="s">
        <v>341</v>
      </c>
      <c r="C623" t="s">
        <v>828</v>
      </c>
      <c r="D623" t="s">
        <v>32</v>
      </c>
      <c r="E623" s="1">
        <v>43720</v>
      </c>
      <c r="F623" s="2">
        <f ca="1">DATEDIF(EmpTable[[#This Row],[Start Date]],TODAY(),"Y")</f>
        <v>6</v>
      </c>
      <c r="G623" t="s">
        <v>17</v>
      </c>
      <c r="H623" t="s">
        <v>48</v>
      </c>
      <c r="I623" t="s">
        <v>42</v>
      </c>
      <c r="J623">
        <v>1018</v>
      </c>
      <c r="K623">
        <v>12216</v>
      </c>
      <c r="L623">
        <v>2</v>
      </c>
      <c r="M623">
        <v>5</v>
      </c>
      <c r="N623">
        <v>0</v>
      </c>
      <c r="O623">
        <v>10</v>
      </c>
    </row>
    <row r="624" spans="1:15" x14ac:dyDescent="0.3">
      <c r="A624">
        <v>623</v>
      </c>
      <c r="B624" t="s">
        <v>116</v>
      </c>
      <c r="C624" t="s">
        <v>829</v>
      </c>
      <c r="D624" t="s">
        <v>32</v>
      </c>
      <c r="E624" s="1">
        <v>43502</v>
      </c>
      <c r="F624" s="2">
        <f ca="1">DATEDIF(EmpTable[[#This Row],[Start Date]],TODAY(),"Y")</f>
        <v>7</v>
      </c>
      <c r="G624" t="s">
        <v>17</v>
      </c>
      <c r="H624" t="s">
        <v>18</v>
      </c>
      <c r="I624" t="s">
        <v>60</v>
      </c>
      <c r="J624">
        <v>1835</v>
      </c>
      <c r="K624">
        <v>22020</v>
      </c>
      <c r="L624">
        <v>3</v>
      </c>
      <c r="M624">
        <v>1</v>
      </c>
      <c r="N624">
        <v>0</v>
      </c>
      <c r="O624">
        <v>50</v>
      </c>
    </row>
    <row r="625" spans="1:15" x14ac:dyDescent="0.3">
      <c r="A625">
        <v>624</v>
      </c>
      <c r="B625" t="s">
        <v>373</v>
      </c>
      <c r="C625" t="s">
        <v>830</v>
      </c>
      <c r="D625" t="s">
        <v>32</v>
      </c>
      <c r="E625" s="1">
        <v>43348</v>
      </c>
      <c r="F625" s="2">
        <f ca="1">DATEDIF(EmpTable[[#This Row],[Start Date]],TODAY(),"Y")</f>
        <v>7</v>
      </c>
      <c r="G625" t="s">
        <v>77</v>
      </c>
      <c r="H625" t="s">
        <v>48</v>
      </c>
      <c r="I625" t="s">
        <v>19</v>
      </c>
      <c r="J625">
        <v>2192</v>
      </c>
      <c r="K625">
        <v>26304</v>
      </c>
      <c r="L625">
        <v>4.5</v>
      </c>
      <c r="M625">
        <v>0</v>
      </c>
      <c r="N625">
        <v>4</v>
      </c>
      <c r="O625">
        <v>1</v>
      </c>
    </row>
    <row r="626" spans="1:15" x14ac:dyDescent="0.3">
      <c r="A626">
        <v>625</v>
      </c>
      <c r="B626" t="s">
        <v>831</v>
      </c>
      <c r="C626" t="s">
        <v>832</v>
      </c>
      <c r="D626" t="s">
        <v>32</v>
      </c>
      <c r="E626" s="1">
        <v>43641</v>
      </c>
      <c r="F626" s="2">
        <f ca="1">DATEDIF(EmpTable[[#This Row],[Start Date]],TODAY(),"Y")</f>
        <v>7</v>
      </c>
      <c r="G626" t="s">
        <v>28</v>
      </c>
      <c r="H626" t="s">
        <v>18</v>
      </c>
      <c r="I626" t="s">
        <v>42</v>
      </c>
      <c r="J626">
        <v>2875</v>
      </c>
      <c r="K626">
        <v>34500</v>
      </c>
      <c r="L626">
        <v>3</v>
      </c>
      <c r="M626">
        <v>0</v>
      </c>
      <c r="N626">
        <v>0</v>
      </c>
      <c r="O626">
        <v>4</v>
      </c>
    </row>
    <row r="627" spans="1:15" x14ac:dyDescent="0.3">
      <c r="A627">
        <v>626</v>
      </c>
      <c r="B627" t="s">
        <v>69</v>
      </c>
      <c r="C627" t="s">
        <v>832</v>
      </c>
      <c r="D627" t="s">
        <v>32</v>
      </c>
      <c r="E627" s="1">
        <v>43737</v>
      </c>
      <c r="F627" s="2">
        <f ca="1">DATEDIF(EmpTable[[#This Row],[Start Date]],TODAY(),"Y")</f>
        <v>6</v>
      </c>
      <c r="G627" t="s">
        <v>58</v>
      </c>
      <c r="H627" t="s">
        <v>22</v>
      </c>
      <c r="I627" t="s">
        <v>19</v>
      </c>
      <c r="J627">
        <v>1332</v>
      </c>
      <c r="K627">
        <v>15984</v>
      </c>
      <c r="L627">
        <v>2</v>
      </c>
      <c r="M627">
        <v>0</v>
      </c>
      <c r="N627">
        <v>0</v>
      </c>
      <c r="O627">
        <v>14</v>
      </c>
    </row>
    <row r="628" spans="1:15" x14ac:dyDescent="0.3">
      <c r="A628">
        <v>627</v>
      </c>
      <c r="B628" t="s">
        <v>33</v>
      </c>
      <c r="C628" t="s">
        <v>833</v>
      </c>
      <c r="D628" t="s">
        <v>32</v>
      </c>
      <c r="E628" s="1">
        <v>43071</v>
      </c>
      <c r="F628" s="2">
        <f ca="1">DATEDIF(EmpTable[[#This Row],[Start Date]],TODAY(),"Y")</f>
        <v>8</v>
      </c>
      <c r="G628" t="s">
        <v>50</v>
      </c>
      <c r="H628" t="s">
        <v>22</v>
      </c>
      <c r="I628" t="s">
        <v>36</v>
      </c>
      <c r="J628">
        <v>2023</v>
      </c>
      <c r="K628">
        <v>24276</v>
      </c>
      <c r="L628">
        <v>5</v>
      </c>
      <c r="M628">
        <v>6</v>
      </c>
      <c r="N628">
        <v>0</v>
      </c>
      <c r="O628">
        <v>5</v>
      </c>
    </row>
    <row r="629" spans="1:15" x14ac:dyDescent="0.3">
      <c r="A629">
        <v>628</v>
      </c>
      <c r="B629" t="s">
        <v>33</v>
      </c>
      <c r="C629" t="s">
        <v>834</v>
      </c>
      <c r="D629" t="s">
        <v>32</v>
      </c>
      <c r="E629" s="1">
        <v>44156</v>
      </c>
      <c r="F629" s="2">
        <f ca="1">DATEDIF(EmpTable[[#This Row],[Start Date]],TODAY(),"Y")</f>
        <v>5</v>
      </c>
      <c r="G629" t="s">
        <v>77</v>
      </c>
      <c r="H629" t="s">
        <v>18</v>
      </c>
      <c r="I629" t="s">
        <v>898</v>
      </c>
      <c r="J629">
        <v>2094</v>
      </c>
      <c r="K629">
        <v>25128</v>
      </c>
      <c r="L629">
        <v>4.5</v>
      </c>
      <c r="M629">
        <v>6</v>
      </c>
      <c r="N629">
        <v>5</v>
      </c>
      <c r="O629">
        <v>2</v>
      </c>
    </row>
    <row r="630" spans="1:15" x14ac:dyDescent="0.3">
      <c r="A630">
        <v>629</v>
      </c>
      <c r="B630" t="s">
        <v>33</v>
      </c>
      <c r="C630" t="s">
        <v>835</v>
      </c>
      <c r="D630" t="s">
        <v>32</v>
      </c>
      <c r="E630" s="1">
        <v>43617</v>
      </c>
      <c r="F630" s="2">
        <f ca="1">DATEDIF(EmpTable[[#This Row],[Start Date]],TODAY(),"Y")</f>
        <v>7</v>
      </c>
      <c r="G630" t="s">
        <v>45</v>
      </c>
      <c r="H630" t="s">
        <v>22</v>
      </c>
      <c r="I630" t="s">
        <v>36</v>
      </c>
      <c r="J630">
        <v>3006</v>
      </c>
      <c r="K630">
        <v>36072</v>
      </c>
      <c r="L630">
        <v>4.5</v>
      </c>
      <c r="M630">
        <v>0</v>
      </c>
      <c r="N630">
        <v>3</v>
      </c>
      <c r="O630">
        <v>7</v>
      </c>
    </row>
    <row r="631" spans="1:15" x14ac:dyDescent="0.3">
      <c r="A631">
        <v>630</v>
      </c>
      <c r="B631" t="s">
        <v>836</v>
      </c>
      <c r="C631" t="s">
        <v>837</v>
      </c>
      <c r="D631" t="s">
        <v>32</v>
      </c>
      <c r="E631" s="1">
        <v>43795</v>
      </c>
      <c r="F631" s="2">
        <f ca="1">DATEDIF(EmpTable[[#This Row],[Start Date]],TODAY(),"Y")</f>
        <v>6</v>
      </c>
      <c r="G631" t="s">
        <v>28</v>
      </c>
      <c r="H631" t="s">
        <v>29</v>
      </c>
      <c r="I631" t="s">
        <v>42</v>
      </c>
      <c r="J631">
        <v>2717</v>
      </c>
      <c r="K631">
        <v>32604</v>
      </c>
      <c r="L631">
        <v>5</v>
      </c>
      <c r="M631">
        <v>0</v>
      </c>
      <c r="N631">
        <v>0</v>
      </c>
      <c r="O631">
        <v>7</v>
      </c>
    </row>
    <row r="632" spans="1:15" x14ac:dyDescent="0.3">
      <c r="A632">
        <v>631</v>
      </c>
      <c r="B632" t="s">
        <v>833</v>
      </c>
      <c r="C632" t="s">
        <v>838</v>
      </c>
      <c r="D632" t="s">
        <v>32</v>
      </c>
      <c r="E632" s="1">
        <v>43326</v>
      </c>
      <c r="F632" s="2">
        <f ca="1">DATEDIF(EmpTable[[#This Row],[Start Date]],TODAY(),"Y")</f>
        <v>8</v>
      </c>
      <c r="G632" t="s">
        <v>76</v>
      </c>
      <c r="H632" t="s">
        <v>29</v>
      </c>
      <c r="I632" t="s">
        <v>42</v>
      </c>
      <c r="J632">
        <v>3135</v>
      </c>
      <c r="K632">
        <v>37620</v>
      </c>
      <c r="L632">
        <v>3</v>
      </c>
      <c r="M632">
        <v>1</v>
      </c>
      <c r="N632">
        <v>0</v>
      </c>
      <c r="O632">
        <v>5</v>
      </c>
    </row>
    <row r="633" spans="1:15" x14ac:dyDescent="0.3">
      <c r="A633">
        <v>632</v>
      </c>
      <c r="B633" t="s">
        <v>59</v>
      </c>
      <c r="C633" t="s">
        <v>46</v>
      </c>
      <c r="D633" t="s">
        <v>307</v>
      </c>
      <c r="E633" s="1">
        <v>43776</v>
      </c>
      <c r="F633" s="2">
        <f ca="1">DATEDIF(EmpTable[[#This Row],[Start Date]],TODAY(),"Y")</f>
        <v>6</v>
      </c>
      <c r="G633" t="s">
        <v>41</v>
      </c>
      <c r="H633" t="s">
        <v>29</v>
      </c>
      <c r="I633" t="s">
        <v>36</v>
      </c>
      <c r="J633">
        <v>2334</v>
      </c>
      <c r="K633">
        <v>28008</v>
      </c>
      <c r="L633">
        <v>1</v>
      </c>
      <c r="M633">
        <v>2</v>
      </c>
      <c r="N633">
        <v>0</v>
      </c>
      <c r="O633">
        <v>2</v>
      </c>
    </row>
    <row r="634" spans="1:15" x14ac:dyDescent="0.3">
      <c r="A634">
        <v>633</v>
      </c>
      <c r="B634" t="s">
        <v>172</v>
      </c>
      <c r="C634" t="s">
        <v>46</v>
      </c>
      <c r="D634" t="s">
        <v>307</v>
      </c>
      <c r="E634" s="1">
        <v>43487</v>
      </c>
      <c r="F634" s="2">
        <f ca="1">DATEDIF(EmpTable[[#This Row],[Start Date]],TODAY(),"Y")</f>
        <v>7</v>
      </c>
      <c r="G634" t="s">
        <v>41</v>
      </c>
      <c r="H634" t="s">
        <v>18</v>
      </c>
      <c r="I634" t="s">
        <v>36</v>
      </c>
      <c r="J634">
        <v>1661</v>
      </c>
      <c r="K634">
        <v>19932</v>
      </c>
      <c r="L634">
        <v>5</v>
      </c>
      <c r="M634">
        <v>4</v>
      </c>
      <c r="N634">
        <v>0</v>
      </c>
      <c r="O634">
        <v>9</v>
      </c>
    </row>
    <row r="635" spans="1:15" x14ac:dyDescent="0.3">
      <c r="A635">
        <v>634</v>
      </c>
      <c r="B635" t="s">
        <v>56</v>
      </c>
      <c r="C635" t="s">
        <v>839</v>
      </c>
      <c r="D635" t="s">
        <v>307</v>
      </c>
      <c r="E635" s="1">
        <v>43595</v>
      </c>
      <c r="F635" s="2">
        <f ca="1">DATEDIF(EmpTable[[#This Row],[Start Date]],TODAY(),"Y")</f>
        <v>7</v>
      </c>
      <c r="G635" t="s">
        <v>353</v>
      </c>
      <c r="H635" t="s">
        <v>18</v>
      </c>
      <c r="I635" t="s">
        <v>898</v>
      </c>
      <c r="J635">
        <v>1230</v>
      </c>
      <c r="K635">
        <v>14760</v>
      </c>
      <c r="L635">
        <v>5</v>
      </c>
      <c r="M635">
        <v>0</v>
      </c>
      <c r="N635">
        <v>6</v>
      </c>
      <c r="O635">
        <v>5</v>
      </c>
    </row>
    <row r="636" spans="1:15" x14ac:dyDescent="0.3">
      <c r="A636">
        <v>635</v>
      </c>
      <c r="B636" t="s">
        <v>37</v>
      </c>
      <c r="C636" t="s">
        <v>257</v>
      </c>
      <c r="D636" t="s">
        <v>307</v>
      </c>
      <c r="E636" s="1">
        <v>42434</v>
      </c>
      <c r="F636" s="2">
        <f ca="1">DATEDIF(EmpTable[[#This Row],[Start Date]],TODAY(),"Y")</f>
        <v>10</v>
      </c>
      <c r="G636" t="s">
        <v>39</v>
      </c>
      <c r="H636" t="s">
        <v>22</v>
      </c>
      <c r="I636" t="s">
        <v>42</v>
      </c>
      <c r="J636">
        <v>1483</v>
      </c>
      <c r="K636">
        <v>17796</v>
      </c>
      <c r="L636">
        <v>5</v>
      </c>
      <c r="M636">
        <v>0</v>
      </c>
      <c r="N636">
        <v>2</v>
      </c>
      <c r="O636">
        <v>8</v>
      </c>
    </row>
    <row r="637" spans="1:15" x14ac:dyDescent="0.3">
      <c r="A637">
        <v>636</v>
      </c>
      <c r="B637" t="s">
        <v>124</v>
      </c>
      <c r="C637" t="s">
        <v>840</v>
      </c>
      <c r="D637" t="s">
        <v>32</v>
      </c>
      <c r="E637" s="1">
        <v>43614</v>
      </c>
      <c r="F637" s="2">
        <f ca="1">DATEDIF(EmpTable[[#This Row],[Start Date]],TODAY(),"Y")</f>
        <v>7</v>
      </c>
      <c r="G637" t="s">
        <v>17</v>
      </c>
      <c r="H637" t="s">
        <v>29</v>
      </c>
      <c r="I637" t="s">
        <v>36</v>
      </c>
      <c r="J637">
        <v>2462</v>
      </c>
      <c r="K637">
        <v>29544</v>
      </c>
      <c r="L637">
        <v>3</v>
      </c>
      <c r="M637">
        <v>6</v>
      </c>
      <c r="N637">
        <v>3</v>
      </c>
      <c r="O637">
        <v>2</v>
      </c>
    </row>
    <row r="638" spans="1:15" x14ac:dyDescent="0.3">
      <c r="A638">
        <v>637</v>
      </c>
      <c r="B638" t="s">
        <v>718</v>
      </c>
      <c r="C638" t="s">
        <v>841</v>
      </c>
      <c r="D638" t="s">
        <v>307</v>
      </c>
      <c r="E638" s="1">
        <v>44194</v>
      </c>
      <c r="F638" s="2">
        <f ca="1">DATEDIF(EmpTable[[#This Row],[Start Date]],TODAY(),"Y")</f>
        <v>5</v>
      </c>
      <c r="G638" t="s">
        <v>77</v>
      </c>
      <c r="H638" t="s">
        <v>18</v>
      </c>
      <c r="I638" t="s">
        <v>898</v>
      </c>
      <c r="J638">
        <v>2180</v>
      </c>
      <c r="K638">
        <v>26160</v>
      </c>
      <c r="L638">
        <v>5</v>
      </c>
      <c r="M638">
        <v>3</v>
      </c>
      <c r="N638">
        <v>0</v>
      </c>
      <c r="O638">
        <v>0</v>
      </c>
    </row>
    <row r="639" spans="1:15" x14ac:dyDescent="0.3">
      <c r="A639">
        <v>638</v>
      </c>
      <c r="B639" t="s">
        <v>212</v>
      </c>
      <c r="C639" t="s">
        <v>842</v>
      </c>
      <c r="D639" t="s">
        <v>307</v>
      </c>
      <c r="E639" s="1">
        <v>42576</v>
      </c>
      <c r="F639" s="2">
        <f ca="1">DATEDIF(EmpTable[[#This Row],[Start Date]],TODAY(),"Y")</f>
        <v>10</v>
      </c>
      <c r="G639" t="s">
        <v>118</v>
      </c>
      <c r="H639" t="s">
        <v>18</v>
      </c>
      <c r="I639" t="s">
        <v>36</v>
      </c>
      <c r="J639">
        <v>943</v>
      </c>
      <c r="K639">
        <v>11316</v>
      </c>
      <c r="L639">
        <v>5</v>
      </c>
      <c r="M639">
        <v>0</v>
      </c>
      <c r="N639">
        <v>4</v>
      </c>
      <c r="O639">
        <v>7</v>
      </c>
    </row>
    <row r="640" spans="1:15" x14ac:dyDescent="0.3">
      <c r="A640">
        <v>639</v>
      </c>
      <c r="B640" t="s">
        <v>20</v>
      </c>
      <c r="C640" t="s">
        <v>843</v>
      </c>
      <c r="D640" t="s">
        <v>32</v>
      </c>
      <c r="E640" s="1">
        <v>43688</v>
      </c>
      <c r="F640" s="2">
        <f ca="1">DATEDIF(EmpTable[[#This Row],[Start Date]],TODAY(),"Y")</f>
        <v>7</v>
      </c>
      <c r="G640" t="s">
        <v>25</v>
      </c>
      <c r="H640" t="s">
        <v>18</v>
      </c>
      <c r="I640" t="s">
        <v>42</v>
      </c>
      <c r="J640">
        <v>2489</v>
      </c>
      <c r="K640">
        <v>29868</v>
      </c>
      <c r="L640">
        <v>3</v>
      </c>
      <c r="M640">
        <v>6</v>
      </c>
      <c r="N640">
        <v>0</v>
      </c>
      <c r="O640">
        <v>3</v>
      </c>
    </row>
    <row r="641" spans="1:15" x14ac:dyDescent="0.3">
      <c r="A641">
        <v>640</v>
      </c>
      <c r="B641" t="s">
        <v>195</v>
      </c>
      <c r="C641" t="s">
        <v>844</v>
      </c>
      <c r="D641" t="s">
        <v>32</v>
      </c>
      <c r="E641" s="1">
        <v>43781</v>
      </c>
      <c r="F641" s="2">
        <f ca="1">DATEDIF(EmpTable[[#This Row],[Start Date]],TODAY(),"Y")</f>
        <v>6</v>
      </c>
      <c r="G641" t="s">
        <v>35</v>
      </c>
      <c r="H641" t="s">
        <v>18</v>
      </c>
      <c r="I641" t="s">
        <v>60</v>
      </c>
      <c r="J641">
        <v>2279</v>
      </c>
      <c r="K641">
        <v>27348</v>
      </c>
      <c r="L641">
        <v>5</v>
      </c>
      <c r="M641">
        <v>0</v>
      </c>
      <c r="N641">
        <v>0</v>
      </c>
      <c r="O641">
        <v>4</v>
      </c>
    </row>
    <row r="642" spans="1:15" x14ac:dyDescent="0.3">
      <c r="A642">
        <v>641</v>
      </c>
      <c r="B642" t="s">
        <v>651</v>
      </c>
      <c r="C642" t="s">
        <v>627</v>
      </c>
      <c r="D642" t="s">
        <v>307</v>
      </c>
      <c r="E642" s="1">
        <v>43479</v>
      </c>
      <c r="F642" s="2">
        <f ca="1">DATEDIF(EmpTable[[#This Row],[Start Date]],TODAY(),"Y")</f>
        <v>7</v>
      </c>
      <c r="G642" t="s">
        <v>77</v>
      </c>
      <c r="H642" t="s">
        <v>22</v>
      </c>
      <c r="I642" t="s">
        <v>42</v>
      </c>
      <c r="J642">
        <v>840</v>
      </c>
      <c r="K642">
        <v>10080</v>
      </c>
      <c r="L642">
        <v>3</v>
      </c>
      <c r="M642">
        <v>4</v>
      </c>
      <c r="N642">
        <v>0</v>
      </c>
      <c r="O642">
        <v>10</v>
      </c>
    </row>
    <row r="643" spans="1:15" x14ac:dyDescent="0.3">
      <c r="A643">
        <v>642</v>
      </c>
      <c r="B643" t="s">
        <v>845</v>
      </c>
      <c r="C643" t="s">
        <v>283</v>
      </c>
      <c r="D643" t="s">
        <v>32</v>
      </c>
      <c r="E643" s="1">
        <v>43511</v>
      </c>
      <c r="F643" s="2">
        <f ca="1">DATEDIF(EmpTable[[#This Row],[Start Date]],TODAY(),"Y")</f>
        <v>7</v>
      </c>
      <c r="G643" t="s">
        <v>17</v>
      </c>
      <c r="H643" t="s">
        <v>18</v>
      </c>
      <c r="I643" t="s">
        <v>36</v>
      </c>
      <c r="J643">
        <v>1601</v>
      </c>
      <c r="K643">
        <v>19212</v>
      </c>
      <c r="L643">
        <v>5</v>
      </c>
      <c r="M643">
        <v>0</v>
      </c>
      <c r="N643">
        <v>0</v>
      </c>
      <c r="O643">
        <v>3</v>
      </c>
    </row>
    <row r="644" spans="1:15" x14ac:dyDescent="0.3">
      <c r="A644">
        <v>643</v>
      </c>
      <c r="B644" t="s">
        <v>219</v>
      </c>
      <c r="C644" t="s">
        <v>618</v>
      </c>
      <c r="D644" t="s">
        <v>32</v>
      </c>
      <c r="E644" s="1">
        <v>43218</v>
      </c>
      <c r="F644" s="2">
        <f ca="1">DATEDIF(EmpTable[[#This Row],[Start Date]],TODAY(),"Y")</f>
        <v>8</v>
      </c>
      <c r="G644" t="s">
        <v>41</v>
      </c>
      <c r="H644" t="s">
        <v>18</v>
      </c>
      <c r="I644" t="s">
        <v>36</v>
      </c>
      <c r="J644">
        <v>1414</v>
      </c>
      <c r="K644">
        <v>16968</v>
      </c>
      <c r="L644">
        <v>5</v>
      </c>
      <c r="M644">
        <v>4</v>
      </c>
      <c r="N644">
        <v>0</v>
      </c>
      <c r="O644">
        <v>10</v>
      </c>
    </row>
    <row r="645" spans="1:15" x14ac:dyDescent="0.3">
      <c r="A645">
        <v>644</v>
      </c>
      <c r="B645" t="s">
        <v>151</v>
      </c>
      <c r="C645" t="s">
        <v>846</v>
      </c>
      <c r="D645" t="s">
        <v>32</v>
      </c>
      <c r="E645" s="1">
        <v>43915</v>
      </c>
      <c r="F645" s="2">
        <f ca="1">DATEDIF(EmpTable[[#This Row],[Start Date]],TODAY(),"Y")</f>
        <v>6</v>
      </c>
      <c r="G645" t="s">
        <v>50</v>
      </c>
      <c r="H645" t="s">
        <v>29</v>
      </c>
      <c r="I645" t="s">
        <v>36</v>
      </c>
      <c r="J645">
        <v>905</v>
      </c>
      <c r="K645">
        <v>10860</v>
      </c>
      <c r="L645">
        <v>3</v>
      </c>
      <c r="M645">
        <v>0</v>
      </c>
      <c r="N645">
        <v>0</v>
      </c>
      <c r="O645">
        <v>8</v>
      </c>
    </row>
    <row r="646" spans="1:15" x14ac:dyDescent="0.3">
      <c r="A646">
        <v>645</v>
      </c>
      <c r="B646" t="s">
        <v>847</v>
      </c>
      <c r="C646" t="s">
        <v>323</v>
      </c>
      <c r="D646" t="s">
        <v>307</v>
      </c>
      <c r="E646" s="1">
        <v>43894</v>
      </c>
      <c r="F646" s="2">
        <f ca="1">DATEDIF(EmpTable[[#This Row],[Start Date]],TODAY(),"Y")</f>
        <v>6</v>
      </c>
      <c r="G646" t="s">
        <v>53</v>
      </c>
      <c r="H646" t="s">
        <v>29</v>
      </c>
      <c r="I646" t="s">
        <v>36</v>
      </c>
      <c r="J646">
        <v>2525</v>
      </c>
      <c r="K646">
        <v>30300</v>
      </c>
      <c r="L646">
        <v>3</v>
      </c>
      <c r="M646">
        <v>0</v>
      </c>
      <c r="N646">
        <v>0</v>
      </c>
      <c r="O646">
        <v>10</v>
      </c>
    </row>
    <row r="647" spans="1:15" x14ac:dyDescent="0.3">
      <c r="A647">
        <v>646</v>
      </c>
      <c r="B647" t="s">
        <v>33</v>
      </c>
      <c r="C647" t="s">
        <v>165</v>
      </c>
      <c r="D647" t="s">
        <v>32</v>
      </c>
      <c r="E647" s="1">
        <v>43245</v>
      </c>
      <c r="F647" s="2">
        <f ca="1">DATEDIF(EmpTable[[#This Row],[Start Date]],TODAY(),"Y")</f>
        <v>8</v>
      </c>
      <c r="G647" t="s">
        <v>39</v>
      </c>
      <c r="H647" t="s">
        <v>18</v>
      </c>
      <c r="I647" t="s">
        <v>36</v>
      </c>
      <c r="J647">
        <v>1412</v>
      </c>
      <c r="K647">
        <v>16944</v>
      </c>
      <c r="L647">
        <v>2</v>
      </c>
      <c r="M647">
        <v>0</v>
      </c>
      <c r="N647">
        <v>0</v>
      </c>
      <c r="O647">
        <v>7</v>
      </c>
    </row>
    <row r="648" spans="1:15" x14ac:dyDescent="0.3">
      <c r="A648">
        <v>647</v>
      </c>
      <c r="B648" t="s">
        <v>327</v>
      </c>
      <c r="C648" t="s">
        <v>848</v>
      </c>
      <c r="D648" t="s">
        <v>32</v>
      </c>
      <c r="E648" s="1">
        <v>43834</v>
      </c>
      <c r="F648" s="2">
        <f ca="1">DATEDIF(EmpTable[[#This Row],[Start Date]],TODAY(),"Y")</f>
        <v>6</v>
      </c>
      <c r="G648" t="s">
        <v>28</v>
      </c>
      <c r="H648" t="s">
        <v>48</v>
      </c>
      <c r="I648" t="s">
        <v>42</v>
      </c>
      <c r="J648">
        <v>2397</v>
      </c>
      <c r="K648">
        <v>28764</v>
      </c>
      <c r="L648">
        <v>3</v>
      </c>
      <c r="M648">
        <v>0</v>
      </c>
      <c r="N648">
        <v>0</v>
      </c>
      <c r="O648">
        <v>100</v>
      </c>
    </row>
    <row r="649" spans="1:15" x14ac:dyDescent="0.3">
      <c r="A649">
        <v>648</v>
      </c>
      <c r="B649" t="s">
        <v>33</v>
      </c>
      <c r="C649" t="s">
        <v>849</v>
      </c>
      <c r="D649" t="s">
        <v>32</v>
      </c>
      <c r="E649" s="1">
        <v>44055</v>
      </c>
      <c r="F649" s="2">
        <f ca="1">DATEDIF(EmpTable[[#This Row],[Start Date]],TODAY(),"Y")</f>
        <v>6</v>
      </c>
      <c r="G649" t="s">
        <v>41</v>
      </c>
      <c r="H649" t="s">
        <v>18</v>
      </c>
      <c r="I649" t="s">
        <v>36</v>
      </c>
      <c r="J649">
        <v>1153</v>
      </c>
      <c r="K649">
        <v>13836</v>
      </c>
      <c r="L649">
        <v>4.5</v>
      </c>
      <c r="M649">
        <v>0</v>
      </c>
      <c r="N649">
        <v>2</v>
      </c>
      <c r="O649">
        <v>10</v>
      </c>
    </row>
    <row r="650" spans="1:15" x14ac:dyDescent="0.3">
      <c r="A650">
        <v>649</v>
      </c>
      <c r="B650" t="s">
        <v>170</v>
      </c>
      <c r="C650" t="s">
        <v>850</v>
      </c>
      <c r="D650" t="s">
        <v>32</v>
      </c>
      <c r="E650" s="1">
        <v>42952</v>
      </c>
      <c r="F650" s="2">
        <f ca="1">DATEDIF(EmpTable[[#This Row],[Start Date]],TODAY(),"Y")</f>
        <v>9</v>
      </c>
      <c r="G650" t="s">
        <v>41</v>
      </c>
      <c r="H650" t="s">
        <v>18</v>
      </c>
      <c r="I650" t="s">
        <v>36</v>
      </c>
      <c r="J650">
        <v>2091</v>
      </c>
      <c r="K650">
        <v>25092</v>
      </c>
      <c r="L650">
        <v>2</v>
      </c>
      <c r="M650">
        <v>0</v>
      </c>
      <c r="N650">
        <v>0</v>
      </c>
      <c r="O650">
        <v>6</v>
      </c>
    </row>
    <row r="651" spans="1:15" x14ac:dyDescent="0.3">
      <c r="A651">
        <v>650</v>
      </c>
      <c r="B651" t="s">
        <v>20</v>
      </c>
      <c r="C651" t="s">
        <v>851</v>
      </c>
      <c r="D651" t="s">
        <v>32</v>
      </c>
      <c r="E651" s="1">
        <v>44011</v>
      </c>
      <c r="F651" s="2">
        <f ca="1">DATEDIF(EmpTable[[#This Row],[Start Date]],TODAY(),"Y")</f>
        <v>6</v>
      </c>
      <c r="G651" t="s">
        <v>28</v>
      </c>
      <c r="H651" t="s">
        <v>29</v>
      </c>
      <c r="I651" t="s">
        <v>19</v>
      </c>
      <c r="J651">
        <v>1444</v>
      </c>
      <c r="K651">
        <v>17328</v>
      </c>
      <c r="L651">
        <v>5</v>
      </c>
      <c r="M651">
        <v>3</v>
      </c>
      <c r="N651">
        <v>0</v>
      </c>
      <c r="O651">
        <v>7</v>
      </c>
    </row>
    <row r="652" spans="1:15" x14ac:dyDescent="0.3">
      <c r="A652">
        <v>651</v>
      </c>
      <c r="B652" t="s">
        <v>852</v>
      </c>
      <c r="C652" t="s">
        <v>853</v>
      </c>
      <c r="D652" t="s">
        <v>307</v>
      </c>
      <c r="E652" s="1">
        <v>42795</v>
      </c>
      <c r="F652" s="2">
        <f ca="1">DATEDIF(EmpTable[[#This Row],[Start Date]],TODAY(),"Y")</f>
        <v>9</v>
      </c>
      <c r="G652" t="s">
        <v>28</v>
      </c>
      <c r="H652" t="s">
        <v>18</v>
      </c>
      <c r="I652" t="s">
        <v>36</v>
      </c>
      <c r="J652">
        <v>2360</v>
      </c>
      <c r="K652">
        <v>28320</v>
      </c>
      <c r="L652">
        <v>4.5</v>
      </c>
      <c r="M652">
        <v>0</v>
      </c>
      <c r="N652">
        <v>0</v>
      </c>
      <c r="O652">
        <v>1</v>
      </c>
    </row>
    <row r="653" spans="1:15" x14ac:dyDescent="0.3">
      <c r="A653">
        <v>652</v>
      </c>
      <c r="B653" t="s">
        <v>33</v>
      </c>
      <c r="C653" t="s">
        <v>775</v>
      </c>
      <c r="D653" t="s">
        <v>32</v>
      </c>
      <c r="E653" s="1">
        <v>44177</v>
      </c>
      <c r="F653" s="2">
        <f ca="1">DATEDIF(EmpTable[[#This Row],[Start Date]],TODAY(),"Y")</f>
        <v>5</v>
      </c>
      <c r="G653" t="s">
        <v>53</v>
      </c>
      <c r="H653" t="s">
        <v>29</v>
      </c>
      <c r="I653" t="s">
        <v>36</v>
      </c>
      <c r="J653">
        <v>2576</v>
      </c>
      <c r="K653">
        <v>30912</v>
      </c>
      <c r="L653">
        <v>1</v>
      </c>
      <c r="M653">
        <v>6</v>
      </c>
      <c r="N653">
        <v>0</v>
      </c>
      <c r="O653">
        <v>6</v>
      </c>
    </row>
    <row r="654" spans="1:15" x14ac:dyDescent="0.3">
      <c r="A654">
        <v>653</v>
      </c>
      <c r="B654" t="s">
        <v>33</v>
      </c>
      <c r="C654" t="s">
        <v>854</v>
      </c>
      <c r="D654" t="s">
        <v>32</v>
      </c>
      <c r="E654" s="1">
        <v>43793</v>
      </c>
      <c r="F654" s="2">
        <f ca="1">DATEDIF(EmpTable[[#This Row],[Start Date]],TODAY(),"Y")</f>
        <v>6</v>
      </c>
      <c r="G654" t="s">
        <v>41</v>
      </c>
      <c r="H654" t="s">
        <v>18</v>
      </c>
      <c r="I654" t="s">
        <v>42</v>
      </c>
      <c r="J654">
        <v>2376</v>
      </c>
      <c r="K654">
        <v>28512</v>
      </c>
      <c r="L654">
        <v>2</v>
      </c>
      <c r="M654">
        <v>6</v>
      </c>
      <c r="N654">
        <v>0</v>
      </c>
      <c r="O654">
        <v>57</v>
      </c>
    </row>
    <row r="655" spans="1:15" x14ac:dyDescent="0.3">
      <c r="A655">
        <v>654</v>
      </c>
      <c r="B655" t="s">
        <v>437</v>
      </c>
      <c r="C655" t="s">
        <v>329</v>
      </c>
      <c r="D655" t="s">
        <v>32</v>
      </c>
      <c r="E655" s="1">
        <v>43681</v>
      </c>
      <c r="F655" s="2">
        <f ca="1">DATEDIF(EmpTable[[#This Row],[Start Date]],TODAY(),"Y")</f>
        <v>7</v>
      </c>
      <c r="G655" t="s">
        <v>53</v>
      </c>
      <c r="H655" t="s">
        <v>29</v>
      </c>
      <c r="I655" t="s">
        <v>36</v>
      </c>
      <c r="J655">
        <v>2924</v>
      </c>
      <c r="K655">
        <v>35088</v>
      </c>
      <c r="L655">
        <v>4.5</v>
      </c>
      <c r="M655">
        <v>0</v>
      </c>
      <c r="N655">
        <v>0</v>
      </c>
      <c r="O655">
        <v>10</v>
      </c>
    </row>
    <row r="656" spans="1:15" x14ac:dyDescent="0.3">
      <c r="A656">
        <v>655</v>
      </c>
      <c r="B656" t="s">
        <v>357</v>
      </c>
      <c r="C656" t="s">
        <v>855</v>
      </c>
      <c r="D656" t="s">
        <v>32</v>
      </c>
      <c r="E656" s="1">
        <v>42785</v>
      </c>
      <c r="F656" s="2">
        <f ca="1">DATEDIF(EmpTable[[#This Row],[Start Date]],TODAY(),"Y")</f>
        <v>9</v>
      </c>
      <c r="G656" t="s">
        <v>77</v>
      </c>
      <c r="H656" t="s">
        <v>22</v>
      </c>
      <c r="I656" t="s">
        <v>19</v>
      </c>
      <c r="J656">
        <v>2548</v>
      </c>
      <c r="K656">
        <v>30576</v>
      </c>
      <c r="L656">
        <v>1</v>
      </c>
      <c r="M656">
        <v>0</v>
      </c>
      <c r="N656">
        <v>0</v>
      </c>
      <c r="O656">
        <v>10</v>
      </c>
    </row>
    <row r="657" spans="1:15" x14ac:dyDescent="0.3">
      <c r="A657">
        <v>656</v>
      </c>
      <c r="B657" t="s">
        <v>856</v>
      </c>
      <c r="C657" t="s">
        <v>857</v>
      </c>
      <c r="D657" t="s">
        <v>32</v>
      </c>
      <c r="E657" s="1">
        <v>43852</v>
      </c>
      <c r="F657" s="2">
        <f ca="1">DATEDIF(EmpTable[[#This Row],[Start Date]],TODAY(),"Y")</f>
        <v>6</v>
      </c>
      <c r="G657" t="s">
        <v>41</v>
      </c>
      <c r="H657" t="s">
        <v>22</v>
      </c>
      <c r="I657" t="s">
        <v>60</v>
      </c>
      <c r="J657">
        <v>841</v>
      </c>
      <c r="K657">
        <v>10092</v>
      </c>
      <c r="L657">
        <v>1</v>
      </c>
      <c r="M657">
        <v>4</v>
      </c>
      <c r="N657">
        <v>0</v>
      </c>
      <c r="O657">
        <v>7</v>
      </c>
    </row>
    <row r="658" spans="1:15" x14ac:dyDescent="0.3">
      <c r="A658">
        <v>657</v>
      </c>
      <c r="B658" t="s">
        <v>56</v>
      </c>
      <c r="C658" t="s">
        <v>858</v>
      </c>
      <c r="D658" t="s">
        <v>307</v>
      </c>
      <c r="E658" s="1">
        <v>43966</v>
      </c>
      <c r="F658" s="2">
        <f ca="1">DATEDIF(EmpTable[[#This Row],[Start Date]],TODAY(),"Y")</f>
        <v>6</v>
      </c>
      <c r="G658" t="s">
        <v>28</v>
      </c>
      <c r="H658" t="s">
        <v>18</v>
      </c>
      <c r="I658" t="s">
        <v>36</v>
      </c>
      <c r="J658">
        <v>3017</v>
      </c>
      <c r="K658">
        <v>36204</v>
      </c>
      <c r="L658">
        <v>3</v>
      </c>
      <c r="M658">
        <v>0</v>
      </c>
      <c r="N658">
        <v>0</v>
      </c>
      <c r="O658">
        <v>6</v>
      </c>
    </row>
    <row r="659" spans="1:15" x14ac:dyDescent="0.3">
      <c r="A659">
        <v>658</v>
      </c>
      <c r="B659" t="s">
        <v>859</v>
      </c>
      <c r="C659" t="s">
        <v>860</v>
      </c>
      <c r="D659" t="s">
        <v>32</v>
      </c>
      <c r="E659" s="1">
        <v>43126</v>
      </c>
      <c r="F659" s="2">
        <f ca="1">DATEDIF(EmpTable[[#This Row],[Start Date]],TODAY(),"Y")</f>
        <v>8</v>
      </c>
      <c r="G659" t="s">
        <v>53</v>
      </c>
      <c r="H659" t="s">
        <v>29</v>
      </c>
      <c r="I659" t="s">
        <v>36</v>
      </c>
      <c r="J659">
        <v>1077</v>
      </c>
      <c r="K659">
        <v>12924</v>
      </c>
      <c r="L659">
        <v>5</v>
      </c>
      <c r="M659">
        <v>0</v>
      </c>
      <c r="N659">
        <v>0</v>
      </c>
      <c r="O659">
        <v>9</v>
      </c>
    </row>
    <row r="660" spans="1:15" x14ac:dyDescent="0.3">
      <c r="A660">
        <v>659</v>
      </c>
      <c r="B660" t="s">
        <v>210</v>
      </c>
      <c r="C660" t="s">
        <v>861</v>
      </c>
      <c r="D660" t="s">
        <v>307</v>
      </c>
      <c r="E660" s="1">
        <v>43223</v>
      </c>
      <c r="F660" s="2">
        <f ca="1">DATEDIF(EmpTable[[#This Row],[Start Date]],TODAY(),"Y")</f>
        <v>8</v>
      </c>
      <c r="G660" t="s">
        <v>58</v>
      </c>
      <c r="H660" t="s">
        <v>18</v>
      </c>
      <c r="I660" t="s">
        <v>60</v>
      </c>
      <c r="J660">
        <v>3316</v>
      </c>
      <c r="K660">
        <v>39792</v>
      </c>
      <c r="L660">
        <v>4.5</v>
      </c>
      <c r="M660">
        <v>0</v>
      </c>
      <c r="N660">
        <v>0</v>
      </c>
      <c r="O660">
        <v>8</v>
      </c>
    </row>
    <row r="661" spans="1:15" x14ac:dyDescent="0.3">
      <c r="A661">
        <v>660</v>
      </c>
      <c r="B661" t="s">
        <v>111</v>
      </c>
      <c r="C661" t="s">
        <v>389</v>
      </c>
      <c r="D661" t="s">
        <v>32</v>
      </c>
      <c r="E661" s="1">
        <v>43442</v>
      </c>
      <c r="F661" s="2">
        <f ca="1">DATEDIF(EmpTable[[#This Row],[Start Date]],TODAY(),"Y")</f>
        <v>7</v>
      </c>
      <c r="G661" t="s">
        <v>118</v>
      </c>
      <c r="H661" t="s">
        <v>48</v>
      </c>
      <c r="I661" t="s">
        <v>60</v>
      </c>
      <c r="J661">
        <v>2188</v>
      </c>
      <c r="K661">
        <v>26256</v>
      </c>
      <c r="L661">
        <v>4.5</v>
      </c>
      <c r="M661">
        <v>5</v>
      </c>
      <c r="N661">
        <v>0</v>
      </c>
      <c r="O661">
        <v>9</v>
      </c>
    </row>
    <row r="662" spans="1:15" x14ac:dyDescent="0.3">
      <c r="A662">
        <v>661</v>
      </c>
      <c r="B662" t="s">
        <v>862</v>
      </c>
      <c r="C662" t="s">
        <v>863</v>
      </c>
      <c r="D662" t="s">
        <v>32</v>
      </c>
      <c r="E662" s="1">
        <v>43500</v>
      </c>
      <c r="F662" s="2">
        <f ca="1">DATEDIF(EmpTable[[#This Row],[Start Date]],TODAY(),"Y")</f>
        <v>7</v>
      </c>
      <c r="G662" t="s">
        <v>118</v>
      </c>
      <c r="H662" t="s">
        <v>29</v>
      </c>
      <c r="I662" t="s">
        <v>60</v>
      </c>
      <c r="J662">
        <v>1684</v>
      </c>
      <c r="K662">
        <v>20208</v>
      </c>
      <c r="L662">
        <v>5</v>
      </c>
      <c r="M662">
        <v>0</v>
      </c>
      <c r="N662">
        <v>0</v>
      </c>
      <c r="O662">
        <v>6</v>
      </c>
    </row>
    <row r="663" spans="1:15" x14ac:dyDescent="0.3">
      <c r="A663">
        <v>662</v>
      </c>
      <c r="B663" t="s">
        <v>864</v>
      </c>
      <c r="C663" t="s">
        <v>865</v>
      </c>
      <c r="D663" t="s">
        <v>307</v>
      </c>
      <c r="E663" s="1">
        <v>43783</v>
      </c>
      <c r="F663" s="2">
        <f ca="1">DATEDIF(EmpTable[[#This Row],[Start Date]],TODAY(),"Y")</f>
        <v>6</v>
      </c>
      <c r="G663" t="s">
        <v>41</v>
      </c>
      <c r="H663" t="s">
        <v>18</v>
      </c>
      <c r="I663" t="s">
        <v>42</v>
      </c>
      <c r="J663">
        <v>716</v>
      </c>
      <c r="K663">
        <v>8592</v>
      </c>
      <c r="L663">
        <v>3</v>
      </c>
      <c r="M663">
        <v>0</v>
      </c>
      <c r="N663">
        <v>0</v>
      </c>
      <c r="O663">
        <v>8</v>
      </c>
    </row>
    <row r="664" spans="1:15" x14ac:dyDescent="0.3">
      <c r="A664">
        <v>663</v>
      </c>
      <c r="B664" t="s">
        <v>413</v>
      </c>
      <c r="C664" t="s">
        <v>476</v>
      </c>
      <c r="D664" t="s">
        <v>307</v>
      </c>
      <c r="E664" s="1">
        <v>43604</v>
      </c>
      <c r="F664" s="2">
        <f ca="1">DATEDIF(EmpTable[[#This Row],[Start Date]],TODAY(),"Y")</f>
        <v>7</v>
      </c>
      <c r="G664" t="s">
        <v>28</v>
      </c>
      <c r="H664" t="s">
        <v>18</v>
      </c>
      <c r="I664" t="s">
        <v>36</v>
      </c>
      <c r="J664">
        <v>2703</v>
      </c>
      <c r="K664">
        <v>32436</v>
      </c>
      <c r="L664">
        <v>2</v>
      </c>
      <c r="M664">
        <v>0</v>
      </c>
      <c r="N664">
        <v>0</v>
      </c>
      <c r="O664">
        <v>4</v>
      </c>
    </row>
    <row r="665" spans="1:15" x14ac:dyDescent="0.3">
      <c r="A665">
        <v>664</v>
      </c>
      <c r="B665" t="s">
        <v>71</v>
      </c>
      <c r="C665" t="s">
        <v>866</v>
      </c>
      <c r="D665" t="s">
        <v>32</v>
      </c>
      <c r="E665" s="1">
        <v>43289</v>
      </c>
      <c r="F665" s="2">
        <f ca="1">DATEDIF(EmpTable[[#This Row],[Start Date]],TODAY(),"Y")</f>
        <v>8</v>
      </c>
      <c r="G665" t="s">
        <v>73</v>
      </c>
      <c r="H665" t="s">
        <v>18</v>
      </c>
      <c r="I665" t="s">
        <v>898</v>
      </c>
      <c r="J665">
        <v>2361</v>
      </c>
      <c r="K665">
        <v>28332</v>
      </c>
      <c r="L665">
        <v>5</v>
      </c>
      <c r="M665">
        <v>0</v>
      </c>
      <c r="N665">
        <v>0</v>
      </c>
      <c r="O665">
        <v>1</v>
      </c>
    </row>
    <row r="666" spans="1:15" x14ac:dyDescent="0.3">
      <c r="A666">
        <v>665</v>
      </c>
      <c r="B666" t="s">
        <v>33</v>
      </c>
      <c r="C666" t="s">
        <v>142</v>
      </c>
      <c r="D666" t="s">
        <v>32</v>
      </c>
      <c r="E666" s="1">
        <v>44141</v>
      </c>
      <c r="F666" s="2">
        <f ca="1">DATEDIF(EmpTable[[#This Row],[Start Date]],TODAY(),"Y")</f>
        <v>5</v>
      </c>
      <c r="G666" t="s">
        <v>28</v>
      </c>
      <c r="H666" t="s">
        <v>18</v>
      </c>
      <c r="I666" t="s">
        <v>42</v>
      </c>
      <c r="J666">
        <v>1797</v>
      </c>
      <c r="K666">
        <v>21564</v>
      </c>
      <c r="L666">
        <v>1</v>
      </c>
      <c r="M666">
        <v>6</v>
      </c>
      <c r="N666">
        <v>0</v>
      </c>
      <c r="O666">
        <v>7</v>
      </c>
    </row>
    <row r="667" spans="1:15" x14ac:dyDescent="0.3">
      <c r="A667">
        <v>666</v>
      </c>
      <c r="B667" t="s">
        <v>64</v>
      </c>
      <c r="C667" t="s">
        <v>867</v>
      </c>
      <c r="D667" t="s">
        <v>32</v>
      </c>
      <c r="E667" s="1">
        <v>43995</v>
      </c>
      <c r="F667" s="2">
        <f ca="1">DATEDIF(EmpTable[[#This Row],[Start Date]],TODAY(),"Y")</f>
        <v>6</v>
      </c>
      <c r="G667" t="s">
        <v>93</v>
      </c>
      <c r="H667" t="s">
        <v>18</v>
      </c>
      <c r="I667" t="s">
        <v>898</v>
      </c>
      <c r="J667">
        <v>2252</v>
      </c>
      <c r="K667">
        <v>27024</v>
      </c>
      <c r="L667">
        <v>3</v>
      </c>
      <c r="M667">
        <v>0</v>
      </c>
      <c r="N667">
        <v>0</v>
      </c>
      <c r="O667">
        <v>2</v>
      </c>
    </row>
    <row r="668" spans="1:15" x14ac:dyDescent="0.3">
      <c r="A668">
        <v>667</v>
      </c>
      <c r="B668" t="s">
        <v>503</v>
      </c>
      <c r="C668" t="s">
        <v>868</v>
      </c>
      <c r="D668" t="s">
        <v>307</v>
      </c>
      <c r="E668" s="1">
        <v>43373</v>
      </c>
      <c r="F668" s="2">
        <f ca="1">DATEDIF(EmpTable[[#This Row],[Start Date]],TODAY(),"Y")</f>
        <v>7</v>
      </c>
      <c r="G668" t="s">
        <v>28</v>
      </c>
      <c r="H668" t="s">
        <v>18</v>
      </c>
      <c r="I668" t="s">
        <v>36</v>
      </c>
      <c r="J668">
        <v>2486</v>
      </c>
      <c r="K668">
        <v>29832</v>
      </c>
      <c r="L668">
        <v>5</v>
      </c>
      <c r="M668">
        <v>5</v>
      </c>
      <c r="N668">
        <v>2</v>
      </c>
      <c r="O668">
        <v>9</v>
      </c>
    </row>
    <row r="669" spans="1:15" x14ac:dyDescent="0.3">
      <c r="A669">
        <v>668</v>
      </c>
      <c r="B669" t="s">
        <v>30</v>
      </c>
      <c r="C669" t="s">
        <v>869</v>
      </c>
      <c r="D669" t="s">
        <v>32</v>
      </c>
      <c r="E669" s="1">
        <v>43995</v>
      </c>
      <c r="F669" s="2">
        <f ca="1">DATEDIF(EmpTable[[#This Row],[Start Date]],TODAY(),"Y")</f>
        <v>6</v>
      </c>
      <c r="G669" t="s">
        <v>28</v>
      </c>
      <c r="H669" t="s">
        <v>18</v>
      </c>
      <c r="I669" t="s">
        <v>36</v>
      </c>
      <c r="J669">
        <v>1197</v>
      </c>
      <c r="K669">
        <v>14364</v>
      </c>
      <c r="L669">
        <v>2</v>
      </c>
      <c r="M669">
        <v>4</v>
      </c>
      <c r="N669">
        <v>0</v>
      </c>
      <c r="O669">
        <v>8</v>
      </c>
    </row>
    <row r="670" spans="1:15" x14ac:dyDescent="0.3">
      <c r="A670">
        <v>669</v>
      </c>
      <c r="B670" t="s">
        <v>870</v>
      </c>
      <c r="C670" t="s">
        <v>871</v>
      </c>
      <c r="D670" t="s">
        <v>307</v>
      </c>
      <c r="E670" s="1">
        <v>43590</v>
      </c>
      <c r="F670" s="2">
        <f ca="1">DATEDIF(EmpTable[[#This Row],[Start Date]],TODAY(),"Y")</f>
        <v>7</v>
      </c>
      <c r="G670" t="s">
        <v>53</v>
      </c>
      <c r="H670" t="s">
        <v>22</v>
      </c>
      <c r="I670" t="s">
        <v>36</v>
      </c>
      <c r="J670">
        <v>3389</v>
      </c>
      <c r="K670">
        <v>40668</v>
      </c>
      <c r="L670">
        <v>3</v>
      </c>
      <c r="M670">
        <v>1</v>
      </c>
      <c r="N670">
        <v>0</v>
      </c>
      <c r="O670">
        <v>7</v>
      </c>
    </row>
    <row r="671" spans="1:15" x14ac:dyDescent="0.3">
      <c r="A671">
        <v>670</v>
      </c>
      <c r="B671" t="s">
        <v>215</v>
      </c>
      <c r="C671" t="s">
        <v>872</v>
      </c>
      <c r="D671" t="s">
        <v>307</v>
      </c>
      <c r="E671" s="1">
        <v>43800</v>
      </c>
      <c r="F671" s="2">
        <f ca="1">DATEDIF(EmpTable[[#This Row],[Start Date]],TODAY(),"Y")</f>
        <v>6</v>
      </c>
      <c r="G671" t="s">
        <v>35</v>
      </c>
      <c r="H671" t="s">
        <v>29</v>
      </c>
      <c r="I671" t="s">
        <v>42</v>
      </c>
      <c r="J671">
        <v>2760</v>
      </c>
      <c r="K671">
        <v>33120</v>
      </c>
      <c r="L671">
        <v>1</v>
      </c>
      <c r="M671">
        <v>6</v>
      </c>
      <c r="N671">
        <v>6</v>
      </c>
      <c r="O671">
        <v>1</v>
      </c>
    </row>
    <row r="672" spans="1:15" x14ac:dyDescent="0.3">
      <c r="A672">
        <v>671</v>
      </c>
      <c r="B672" t="s">
        <v>213</v>
      </c>
      <c r="C672" t="s">
        <v>873</v>
      </c>
      <c r="D672" t="s">
        <v>32</v>
      </c>
      <c r="E672" s="1">
        <v>42992</v>
      </c>
      <c r="F672" s="2">
        <f ca="1">DATEDIF(EmpTable[[#This Row],[Start Date]],TODAY(),"Y")</f>
        <v>8</v>
      </c>
      <c r="G672" t="s">
        <v>88</v>
      </c>
      <c r="H672" t="s">
        <v>22</v>
      </c>
      <c r="I672" t="s">
        <v>42</v>
      </c>
      <c r="J672">
        <v>1232</v>
      </c>
      <c r="K672">
        <v>14784</v>
      </c>
      <c r="L672">
        <v>5</v>
      </c>
      <c r="M672">
        <v>3</v>
      </c>
      <c r="N672">
        <v>0</v>
      </c>
      <c r="O672">
        <v>10</v>
      </c>
    </row>
    <row r="673" spans="1:15" x14ac:dyDescent="0.3">
      <c r="A673">
        <v>672</v>
      </c>
      <c r="B673" t="s">
        <v>606</v>
      </c>
      <c r="C673" t="s">
        <v>874</v>
      </c>
      <c r="D673" t="s">
        <v>307</v>
      </c>
      <c r="E673" s="1">
        <v>43573</v>
      </c>
      <c r="F673" s="2">
        <f ca="1">DATEDIF(EmpTable[[#This Row],[Start Date]],TODAY(),"Y")</f>
        <v>7</v>
      </c>
      <c r="G673" t="s">
        <v>53</v>
      </c>
      <c r="H673" t="s">
        <v>29</v>
      </c>
      <c r="I673" t="s">
        <v>36</v>
      </c>
      <c r="J673">
        <v>1045</v>
      </c>
      <c r="K673">
        <v>12540</v>
      </c>
      <c r="L673">
        <v>5</v>
      </c>
      <c r="M673">
        <v>6</v>
      </c>
      <c r="N673">
        <v>0</v>
      </c>
      <c r="O673">
        <v>4</v>
      </c>
    </row>
    <row r="674" spans="1:15" x14ac:dyDescent="0.3">
      <c r="A674">
        <v>673</v>
      </c>
      <c r="B674" t="s">
        <v>33</v>
      </c>
      <c r="C674" t="s">
        <v>875</v>
      </c>
      <c r="D674" t="s">
        <v>32</v>
      </c>
      <c r="E674" s="1">
        <v>43104</v>
      </c>
      <c r="F674" s="2">
        <f ca="1">DATEDIF(EmpTable[[#This Row],[Start Date]],TODAY(),"Y")</f>
        <v>8</v>
      </c>
      <c r="G674" t="s">
        <v>50</v>
      </c>
      <c r="H674" t="s">
        <v>18</v>
      </c>
      <c r="I674" t="s">
        <v>19</v>
      </c>
      <c r="J674">
        <v>3257</v>
      </c>
      <c r="K674">
        <v>39084</v>
      </c>
      <c r="L674">
        <v>3</v>
      </c>
      <c r="M674">
        <v>0</v>
      </c>
      <c r="N674">
        <v>0</v>
      </c>
      <c r="O674">
        <v>6</v>
      </c>
    </row>
    <row r="675" spans="1:15" x14ac:dyDescent="0.3">
      <c r="A675">
        <v>674</v>
      </c>
      <c r="B675" t="s">
        <v>876</v>
      </c>
      <c r="C675" t="s">
        <v>877</v>
      </c>
      <c r="D675" t="s">
        <v>307</v>
      </c>
      <c r="E675" s="1">
        <v>43160</v>
      </c>
      <c r="F675" s="2">
        <f ca="1">DATEDIF(EmpTable[[#This Row],[Start Date]],TODAY(),"Y")</f>
        <v>8</v>
      </c>
      <c r="G675" t="s">
        <v>53</v>
      </c>
      <c r="H675" t="s">
        <v>18</v>
      </c>
      <c r="I675" t="s">
        <v>60</v>
      </c>
      <c r="J675">
        <v>3026</v>
      </c>
      <c r="K675">
        <v>36312</v>
      </c>
      <c r="L675">
        <v>3</v>
      </c>
      <c r="M675">
        <v>4</v>
      </c>
      <c r="N675">
        <v>0</v>
      </c>
      <c r="O675">
        <v>1</v>
      </c>
    </row>
    <row r="676" spans="1:15" x14ac:dyDescent="0.3">
      <c r="A676">
        <v>675</v>
      </c>
      <c r="B676" t="s">
        <v>878</v>
      </c>
      <c r="C676" t="s">
        <v>879</v>
      </c>
      <c r="D676" t="s">
        <v>307</v>
      </c>
      <c r="E676" s="1">
        <v>43766</v>
      </c>
      <c r="F676" s="2">
        <f ca="1">DATEDIF(EmpTable[[#This Row],[Start Date]],TODAY(),"Y")</f>
        <v>6</v>
      </c>
      <c r="G676" t="s">
        <v>77</v>
      </c>
      <c r="H676" t="s">
        <v>18</v>
      </c>
      <c r="I676" t="s">
        <v>36</v>
      </c>
      <c r="J676">
        <v>1898</v>
      </c>
      <c r="K676">
        <v>22776</v>
      </c>
      <c r="L676">
        <v>4.5</v>
      </c>
      <c r="M676">
        <v>1</v>
      </c>
      <c r="N676">
        <v>0</v>
      </c>
      <c r="O676">
        <v>2</v>
      </c>
    </row>
    <row r="677" spans="1:15" x14ac:dyDescent="0.3">
      <c r="A677">
        <v>676</v>
      </c>
      <c r="B677" t="s">
        <v>880</v>
      </c>
      <c r="C677" t="s">
        <v>881</v>
      </c>
      <c r="D677" t="s">
        <v>32</v>
      </c>
      <c r="E677" s="1">
        <v>43275</v>
      </c>
      <c r="F677" s="2">
        <f ca="1">DATEDIF(EmpTable[[#This Row],[Start Date]],TODAY(),"Y")</f>
        <v>8</v>
      </c>
      <c r="G677" t="s">
        <v>28</v>
      </c>
      <c r="H677" t="s">
        <v>18</v>
      </c>
      <c r="I677" t="s">
        <v>60</v>
      </c>
      <c r="J677">
        <v>2778</v>
      </c>
      <c r="K677">
        <v>33336</v>
      </c>
      <c r="L677">
        <v>3</v>
      </c>
      <c r="M677">
        <v>2</v>
      </c>
      <c r="N677">
        <v>0</v>
      </c>
      <c r="O677">
        <v>20</v>
      </c>
    </row>
    <row r="678" spans="1:15" x14ac:dyDescent="0.3">
      <c r="A678">
        <v>677</v>
      </c>
      <c r="B678" t="s">
        <v>20</v>
      </c>
      <c r="C678" t="s">
        <v>882</v>
      </c>
      <c r="D678" t="s">
        <v>32</v>
      </c>
      <c r="E678" s="1">
        <v>43104</v>
      </c>
      <c r="F678" s="2">
        <f ca="1">DATEDIF(EmpTable[[#This Row],[Start Date]],TODAY(),"Y")</f>
        <v>8</v>
      </c>
      <c r="G678" t="s">
        <v>77</v>
      </c>
      <c r="H678" t="s">
        <v>48</v>
      </c>
      <c r="I678" t="s">
        <v>36</v>
      </c>
      <c r="J678">
        <v>2880</v>
      </c>
      <c r="K678">
        <v>34560</v>
      </c>
      <c r="L678">
        <v>2</v>
      </c>
      <c r="M678">
        <v>4</v>
      </c>
      <c r="N678">
        <v>0</v>
      </c>
      <c r="O678">
        <v>5</v>
      </c>
    </row>
    <row r="679" spans="1:15" x14ac:dyDescent="0.3">
      <c r="A679">
        <v>678</v>
      </c>
      <c r="B679" t="s">
        <v>272</v>
      </c>
      <c r="C679" t="s">
        <v>883</v>
      </c>
      <c r="D679" t="s">
        <v>32</v>
      </c>
      <c r="E679" s="1">
        <v>43538</v>
      </c>
      <c r="F679" s="2">
        <f ca="1">DATEDIF(EmpTable[[#This Row],[Start Date]],TODAY(),"Y")</f>
        <v>7</v>
      </c>
      <c r="G679" t="s">
        <v>353</v>
      </c>
      <c r="H679" t="s">
        <v>22</v>
      </c>
      <c r="I679" t="s">
        <v>42</v>
      </c>
      <c r="J679">
        <v>2815</v>
      </c>
      <c r="K679">
        <v>33780</v>
      </c>
      <c r="L679">
        <v>3</v>
      </c>
      <c r="M679">
        <v>6</v>
      </c>
      <c r="N679">
        <v>0</v>
      </c>
      <c r="O679">
        <v>2</v>
      </c>
    </row>
    <row r="680" spans="1:15" x14ac:dyDescent="0.3">
      <c r="A680">
        <v>679</v>
      </c>
      <c r="B680" t="s">
        <v>884</v>
      </c>
      <c r="C680" t="s">
        <v>885</v>
      </c>
      <c r="D680" t="s">
        <v>307</v>
      </c>
      <c r="E680" s="1">
        <v>43448</v>
      </c>
      <c r="F680" s="2">
        <f ca="1">DATEDIF(EmpTable[[#This Row],[Start Date]],TODAY(),"Y")</f>
        <v>7</v>
      </c>
      <c r="G680" t="s">
        <v>45</v>
      </c>
      <c r="H680" t="s">
        <v>48</v>
      </c>
      <c r="I680" t="s">
        <v>898</v>
      </c>
      <c r="J680">
        <v>1134</v>
      </c>
      <c r="K680">
        <v>13608</v>
      </c>
      <c r="L680">
        <v>2</v>
      </c>
      <c r="M680">
        <v>0</v>
      </c>
      <c r="N680">
        <v>0</v>
      </c>
      <c r="O680">
        <v>14</v>
      </c>
    </row>
    <row r="681" spans="1:15" x14ac:dyDescent="0.3">
      <c r="A681">
        <v>680</v>
      </c>
      <c r="B681" t="s">
        <v>886</v>
      </c>
      <c r="C681" t="s">
        <v>887</v>
      </c>
      <c r="D681" t="s">
        <v>307</v>
      </c>
      <c r="E681" s="1">
        <v>43757</v>
      </c>
      <c r="F681" s="2">
        <f ca="1">DATEDIF(EmpTable[[#This Row],[Start Date]],TODAY(),"Y")</f>
        <v>6</v>
      </c>
      <c r="G681" t="s">
        <v>76</v>
      </c>
      <c r="H681" t="s">
        <v>29</v>
      </c>
      <c r="I681" t="s">
        <v>19</v>
      </c>
      <c r="J681">
        <v>3334</v>
      </c>
      <c r="K681">
        <v>40008</v>
      </c>
      <c r="L681">
        <v>1</v>
      </c>
      <c r="M681">
        <v>0</v>
      </c>
      <c r="N681">
        <v>0</v>
      </c>
      <c r="O681">
        <v>4</v>
      </c>
    </row>
    <row r="682" spans="1:15" x14ac:dyDescent="0.3">
      <c r="A682">
        <v>681</v>
      </c>
      <c r="B682" t="s">
        <v>67</v>
      </c>
      <c r="C682" t="s">
        <v>326</v>
      </c>
      <c r="D682" t="s">
        <v>32</v>
      </c>
      <c r="E682" s="1">
        <v>43981</v>
      </c>
      <c r="F682" s="2">
        <f ca="1">DATEDIF(EmpTable[[#This Row],[Start Date]],TODAY(),"Y")</f>
        <v>6</v>
      </c>
      <c r="G682" t="s">
        <v>28</v>
      </c>
      <c r="H682" t="s">
        <v>48</v>
      </c>
      <c r="I682" t="s">
        <v>898</v>
      </c>
      <c r="J682">
        <v>2574</v>
      </c>
      <c r="K682">
        <v>30888</v>
      </c>
      <c r="L682">
        <v>3</v>
      </c>
      <c r="M682">
        <v>3</v>
      </c>
      <c r="N682">
        <v>0</v>
      </c>
      <c r="O682">
        <v>4</v>
      </c>
    </row>
    <row r="683" spans="1:15" x14ac:dyDescent="0.3">
      <c r="A683">
        <v>682</v>
      </c>
      <c r="B683" t="s">
        <v>327</v>
      </c>
      <c r="C683" t="s">
        <v>888</v>
      </c>
      <c r="D683" t="s">
        <v>32</v>
      </c>
      <c r="E683" s="1">
        <v>43530</v>
      </c>
      <c r="F683" s="2">
        <f ca="1">DATEDIF(EmpTable[[#This Row],[Start Date]],TODAY(),"Y")</f>
        <v>7</v>
      </c>
      <c r="G683" t="s">
        <v>28</v>
      </c>
      <c r="H683" t="s">
        <v>18</v>
      </c>
      <c r="I683" t="s">
        <v>19</v>
      </c>
      <c r="J683">
        <v>1123</v>
      </c>
      <c r="K683">
        <v>13476</v>
      </c>
      <c r="L683">
        <v>1</v>
      </c>
      <c r="M683">
        <v>0</v>
      </c>
      <c r="N683">
        <v>0</v>
      </c>
      <c r="O683">
        <v>7</v>
      </c>
    </row>
    <row r="684" spans="1:15" x14ac:dyDescent="0.3">
      <c r="A684">
        <v>683</v>
      </c>
      <c r="B684" t="s">
        <v>357</v>
      </c>
      <c r="C684" t="s">
        <v>758</v>
      </c>
      <c r="D684" t="s">
        <v>32</v>
      </c>
      <c r="E684" s="1">
        <v>42502</v>
      </c>
      <c r="F684" s="2">
        <f ca="1">DATEDIF(EmpTable[[#This Row],[Start Date]],TODAY(),"Y")</f>
        <v>10</v>
      </c>
      <c r="G684" t="s">
        <v>41</v>
      </c>
      <c r="H684" t="s">
        <v>29</v>
      </c>
      <c r="I684" t="s">
        <v>42</v>
      </c>
      <c r="J684">
        <v>2147</v>
      </c>
      <c r="K684">
        <v>25764</v>
      </c>
      <c r="L684">
        <v>3</v>
      </c>
      <c r="M684">
        <v>0</v>
      </c>
      <c r="N684">
        <v>4</v>
      </c>
      <c r="O684">
        <v>2</v>
      </c>
    </row>
    <row r="685" spans="1:15" x14ac:dyDescent="0.3">
      <c r="A685">
        <v>684</v>
      </c>
      <c r="B685" t="s">
        <v>889</v>
      </c>
      <c r="C685" t="s">
        <v>890</v>
      </c>
      <c r="D685" t="s">
        <v>32</v>
      </c>
      <c r="E685" s="1">
        <v>42913</v>
      </c>
      <c r="F685" s="2">
        <f ca="1">DATEDIF(EmpTable[[#This Row],[Start Date]],TODAY(),"Y")</f>
        <v>9</v>
      </c>
      <c r="G685" t="s">
        <v>50</v>
      </c>
      <c r="H685" t="s">
        <v>18</v>
      </c>
      <c r="I685" t="s">
        <v>42</v>
      </c>
      <c r="J685">
        <v>2929</v>
      </c>
      <c r="K685">
        <v>35148</v>
      </c>
      <c r="L685">
        <v>4.5</v>
      </c>
      <c r="M685">
        <v>0</v>
      </c>
      <c r="N685">
        <v>0</v>
      </c>
      <c r="O685">
        <v>2</v>
      </c>
    </row>
    <row r="686" spans="1:15" x14ac:dyDescent="0.3">
      <c r="A686">
        <v>685</v>
      </c>
      <c r="B686" t="s">
        <v>891</v>
      </c>
      <c r="C686" t="s">
        <v>892</v>
      </c>
      <c r="D686" t="s">
        <v>32</v>
      </c>
      <c r="E686" s="1">
        <v>43977</v>
      </c>
      <c r="F686" s="2">
        <f ca="1">DATEDIF(EmpTable[[#This Row],[Start Date]],TODAY(),"Y")</f>
        <v>6</v>
      </c>
      <c r="G686" t="s">
        <v>58</v>
      </c>
      <c r="H686" t="s">
        <v>294</v>
      </c>
      <c r="I686" t="s">
        <v>60</v>
      </c>
      <c r="J686">
        <v>1452</v>
      </c>
      <c r="K686">
        <v>17424</v>
      </c>
      <c r="L686">
        <v>2</v>
      </c>
      <c r="M686">
        <v>0</v>
      </c>
      <c r="N686">
        <v>3</v>
      </c>
      <c r="O686">
        <v>1</v>
      </c>
    </row>
    <row r="687" spans="1:15" x14ac:dyDescent="0.3">
      <c r="A687">
        <v>686</v>
      </c>
      <c r="B687" t="s">
        <v>893</v>
      </c>
      <c r="C687" t="s">
        <v>894</v>
      </c>
      <c r="D687" t="s">
        <v>32</v>
      </c>
      <c r="E687" s="1">
        <v>43985</v>
      </c>
      <c r="F687" s="2">
        <f ca="1">DATEDIF(EmpTable[[#This Row],[Start Date]],TODAY(),"Y")</f>
        <v>6</v>
      </c>
      <c r="G687" t="s">
        <v>53</v>
      </c>
      <c r="H687" t="s">
        <v>18</v>
      </c>
      <c r="I687" t="s">
        <v>36</v>
      </c>
      <c r="J687">
        <v>3237</v>
      </c>
      <c r="K687">
        <v>38844</v>
      </c>
      <c r="L687">
        <v>3</v>
      </c>
      <c r="M687">
        <v>1</v>
      </c>
      <c r="N687">
        <v>0</v>
      </c>
      <c r="O687">
        <v>4</v>
      </c>
    </row>
    <row r="688" spans="1:15" x14ac:dyDescent="0.3">
      <c r="A688">
        <v>687</v>
      </c>
      <c r="B688" t="s">
        <v>290</v>
      </c>
      <c r="C688" t="s">
        <v>895</v>
      </c>
      <c r="D688" t="s">
        <v>32</v>
      </c>
      <c r="E688" s="1">
        <v>42927</v>
      </c>
      <c r="F688" s="2">
        <f ca="1">DATEDIF(EmpTable[[#This Row],[Start Date]],TODAY(),"Y")</f>
        <v>9</v>
      </c>
      <c r="G688" t="s">
        <v>53</v>
      </c>
      <c r="H688" t="s">
        <v>18</v>
      </c>
      <c r="I688" t="s">
        <v>36</v>
      </c>
      <c r="J688">
        <v>2819</v>
      </c>
      <c r="K688">
        <v>33828</v>
      </c>
      <c r="L688">
        <v>5</v>
      </c>
      <c r="M688">
        <v>0</v>
      </c>
      <c r="N688">
        <v>0</v>
      </c>
      <c r="O688">
        <v>0</v>
      </c>
    </row>
    <row r="689" spans="1:15" x14ac:dyDescent="0.3">
      <c r="A689">
        <v>688</v>
      </c>
      <c r="B689" t="s">
        <v>33</v>
      </c>
      <c r="C689" t="s">
        <v>896</v>
      </c>
      <c r="D689" t="s">
        <v>32</v>
      </c>
      <c r="E689" s="1">
        <v>43250</v>
      </c>
      <c r="F689" s="2">
        <f ca="1">DATEDIF(EmpTable[[#This Row],[Start Date]],TODAY(),"Y")</f>
        <v>8</v>
      </c>
      <c r="G689" t="s">
        <v>118</v>
      </c>
      <c r="H689" t="s">
        <v>18</v>
      </c>
      <c r="I689" t="s">
        <v>36</v>
      </c>
      <c r="J689">
        <v>2069</v>
      </c>
      <c r="K689">
        <v>24828</v>
      </c>
      <c r="L689">
        <v>3</v>
      </c>
      <c r="M689">
        <v>0</v>
      </c>
      <c r="N689">
        <v>0</v>
      </c>
      <c r="O689">
        <v>10</v>
      </c>
    </row>
    <row r="690" spans="1:15" x14ac:dyDescent="0.3">
      <c r="A690">
        <v>689</v>
      </c>
      <c r="B690" t="s">
        <v>897</v>
      </c>
      <c r="C690" t="s">
        <v>504</v>
      </c>
      <c r="D690" t="s">
        <v>32</v>
      </c>
      <c r="E690" s="1">
        <v>44048</v>
      </c>
      <c r="F690" s="2">
        <f ca="1">DATEDIF(EmpTable[[#This Row],[Start Date]],TODAY(),"Y")</f>
        <v>6</v>
      </c>
      <c r="G690" t="s">
        <v>50</v>
      </c>
      <c r="H690" t="s">
        <v>29</v>
      </c>
      <c r="I690" t="s">
        <v>36</v>
      </c>
      <c r="J690">
        <v>2606</v>
      </c>
      <c r="K690">
        <v>31272</v>
      </c>
      <c r="L690">
        <v>5</v>
      </c>
      <c r="M690">
        <v>0</v>
      </c>
      <c r="N690">
        <v>0</v>
      </c>
      <c r="O690">
        <v>0</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2ED7E7C-A368-440A-B50A-1D9663AA8C15}">
  <ds:schemaRefs/>
</ds:datastoreItem>
</file>

<file path=customXml/itemProps2.xml><?xml version="1.0" encoding="utf-8"?>
<ds:datastoreItem xmlns:ds="http://schemas.openxmlformats.org/officeDocument/2006/customXml" ds:itemID="{BA20997A-3D64-44E7-B220-2C5908DDC9E4}">
  <ds:schemaRefs/>
</ds:datastoreItem>
</file>

<file path=customXml/itemProps3.xml><?xml version="1.0" encoding="utf-8"?>
<ds:datastoreItem xmlns:ds="http://schemas.openxmlformats.org/officeDocument/2006/customXml" ds:itemID="{380A9648-913E-4989-9EAA-16081CC1E8C0}">
  <ds:schemaRefs/>
</ds:datastoreItem>
</file>

<file path=customXml/itemProps4.xml><?xml version="1.0" encoding="utf-8"?>
<ds:datastoreItem xmlns:ds="http://schemas.openxmlformats.org/officeDocument/2006/customXml" ds:itemID="{98D55D39-8F79-4FC9-B35F-BDBD385114F7}">
  <ds:schemaRefs/>
</ds:datastoreItem>
</file>

<file path=customXml/itemProps5.xml><?xml version="1.0" encoding="utf-8"?>
<ds:datastoreItem xmlns:ds="http://schemas.openxmlformats.org/officeDocument/2006/customXml" ds:itemID="{55D249F3-402F-4ED6-91CC-09C025C359BC}">
  <ds:schemaRefs/>
</ds:datastoreItem>
</file>

<file path=customXml/itemProps6.xml><?xml version="1.0" encoding="utf-8"?>
<ds:datastoreItem xmlns:ds="http://schemas.openxmlformats.org/officeDocument/2006/customXml" ds:itemID="{96C50995-A32D-4089-906C-2470E901D61C}">
  <ds:schemaRefs/>
</ds:datastoreItem>
</file>

<file path=customXml/itemProps7.xml><?xml version="1.0" encoding="utf-8"?>
<ds:datastoreItem xmlns:ds="http://schemas.openxmlformats.org/officeDocument/2006/customXml" ds:itemID="{C99E3654-4491-49E9-A403-A2713492B76D}">
  <ds:schemaRefs/>
</ds:datastoreItem>
</file>

<file path=customXml/itemProps8.xml><?xml version="1.0" encoding="utf-8"?>
<ds:datastoreItem xmlns:ds="http://schemas.openxmlformats.org/officeDocument/2006/customXml" ds:itemID="{95B8EAE0-F07D-46BA-933C-F7248ED3FA79}">
  <ds:schemaRefs/>
</ds:datastoreItem>
</file>

<file path=customXml/itemProps9.xml><?xml version="1.0" encoding="utf-8"?>
<ds:datastoreItem xmlns:ds="http://schemas.openxmlformats.org/officeDocument/2006/customXml" ds:itemID="{E20C0763-6CE7-4798-B7D9-9CB68724750F}">
  <ds:schemaRefs/>
</ds:datastoreItem>
</file>

<file path=customXml/itemProps10.xml><?xml version="1.0" encoding="utf-8"?>
<ds:datastoreItem xmlns:ds="http://schemas.openxmlformats.org/officeDocument/2006/customXml" ds:itemID="{88AE032A-6BA4-487E-835C-23957E946F1D}">
  <ds:schemaRefs/>
</ds:datastoreItem>
</file>

<file path=customXml/itemProps11.xml><?xml version="1.0" encoding="utf-8"?>
<ds:datastoreItem xmlns:ds="http://schemas.openxmlformats.org/officeDocument/2006/customXml" ds:itemID="{8D4C4B76-E861-4E1F-8BBC-8EF703B4C944}">
  <ds:schemaRefs>
    <ds:schemaRef ds:uri="http://schemas.microsoft.com/DataMashup"/>
  </ds:schemaRefs>
</ds:datastoreItem>
</file>

<file path=customXml/itemProps12.xml><?xml version="1.0" encoding="utf-8"?>
<ds:datastoreItem xmlns:ds="http://schemas.openxmlformats.org/officeDocument/2006/customXml" ds:itemID="{B75E2352-1021-4796-B497-D401FFDB4AF0}">
  <ds:schemaRefs/>
</ds:datastoreItem>
</file>

<file path=customXml/itemProps13.xml><?xml version="1.0" encoding="utf-8"?>
<ds:datastoreItem xmlns:ds="http://schemas.openxmlformats.org/officeDocument/2006/customXml" ds:itemID="{652D699D-E922-4BFF-BA8B-B31F9BB95AC1}">
  <ds:schemaRefs/>
</ds:datastoreItem>
</file>

<file path=customXml/itemProps14.xml><?xml version="1.0" encoding="utf-8"?>
<ds:datastoreItem xmlns:ds="http://schemas.openxmlformats.org/officeDocument/2006/customXml" ds:itemID="{E708B90E-0E4F-4E67-B00F-175E89415A3C}">
  <ds:schemaRefs/>
</ds:datastoreItem>
</file>

<file path=customXml/itemProps15.xml><?xml version="1.0" encoding="utf-8"?>
<ds:datastoreItem xmlns:ds="http://schemas.openxmlformats.org/officeDocument/2006/customXml" ds:itemID="{445FC70B-AA29-4AAE-B1BC-2E0E65B5D620}">
  <ds:schemaRefs/>
</ds:datastoreItem>
</file>

<file path=customXml/itemProps16.xml><?xml version="1.0" encoding="utf-8"?>
<ds:datastoreItem xmlns:ds="http://schemas.openxmlformats.org/officeDocument/2006/customXml" ds:itemID="{EAFE7ABD-FBCB-405B-8C13-5F8A6F0A1D6E}">
  <ds:schemaRefs/>
</ds:datastoreItem>
</file>

<file path=customXml/itemProps17.xml><?xml version="1.0" encoding="utf-8"?>
<ds:datastoreItem xmlns:ds="http://schemas.openxmlformats.org/officeDocument/2006/customXml" ds:itemID="{6BFD9C93-2C4F-4B42-BDC9-17E96738B191}">
  <ds:schemaRefs/>
</ds:datastoreItem>
</file>

<file path=customXml/itemProps18.xml><?xml version="1.0" encoding="utf-8"?>
<ds:datastoreItem xmlns:ds="http://schemas.openxmlformats.org/officeDocument/2006/customXml" ds:itemID="{3A34A6D1-FE23-45B6-A848-5892C6DEFE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Third Dashboard</vt:lpstr>
      <vt:lpstr>Second Dashboard</vt:lpstr>
      <vt:lpstr>First Dashboard</vt:lpstr>
      <vt:lpstr>Pivot Tables &amp; Charts</vt:lpstr>
      <vt:lpstr>Employees_Clean</vt:lpstr>
      <vt:lpstr>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Al-Munthir Saffan</dc:creator>
  <cp:lastModifiedBy>youssef mesalam</cp:lastModifiedBy>
  <dcterms:created xsi:type="dcterms:W3CDTF">2021-01-14T04:56:01Z</dcterms:created>
  <dcterms:modified xsi:type="dcterms:W3CDTF">2026-09-03T20:39:41Z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2025-10-11T11:26:43Z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468986cd-b37a-4c11-9a77-48dccc307342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